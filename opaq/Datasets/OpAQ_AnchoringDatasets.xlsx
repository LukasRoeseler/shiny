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roese\Documents\LeaRn\MetaAnkerItems\"/>
    </mc:Choice>
  </mc:AlternateContent>
  <xr:revisionPtr revIDLastSave="0" documentId="13_ncr:1_{0A1208AB-2AE9-4E3A-BDD3-2B65E3FB11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verview" sheetId="1" r:id="rId1"/>
    <sheet name="Aufgabe Paulina" sheetId="4" r:id="rId2"/>
    <sheet name="included 4.3.22" sheetId="3" r:id="rId3"/>
    <sheet name="Tabelle2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8" i="1" l="1"/>
  <c r="G249" i="1"/>
  <c r="G250" i="1"/>
  <c r="G251" i="1"/>
  <c r="G252" i="1"/>
  <c r="G247" i="1"/>
  <c r="F55" i="3"/>
  <c r="F54" i="3"/>
  <c r="F53" i="3"/>
  <c r="F52" i="3"/>
  <c r="F51" i="3"/>
  <c r="F50" i="3"/>
  <c r="L29" i="1"/>
</calcChain>
</file>

<file path=xl/sharedStrings.xml><?xml version="1.0" encoding="utf-8"?>
<sst xmlns="http://schemas.openxmlformats.org/spreadsheetml/2006/main" count="1523" uniqueCount="1168">
  <si>
    <t>ID</t>
  </si>
  <si>
    <t>Reference</t>
  </si>
  <si>
    <t>Authors</t>
  </si>
  <si>
    <t>Article Title</t>
  </si>
  <si>
    <t>DOI</t>
  </si>
  <si>
    <t>Link</t>
  </si>
  <si>
    <t>Source
1 = literature search, 2 = file drawer, 3 = direct communication, 4 = Call for data, 5 = other, 6 = literature alerts "anchoring effect"</t>
  </si>
  <si>
    <t>Article accessible?
1 = yes, 0 = no</t>
  </si>
  <si>
    <t>Data openly accessible?
1 = yes, 0 = no</t>
  </si>
  <si>
    <t>Dataset link 1</t>
  </si>
  <si>
    <t>Dataset link 2</t>
  </si>
  <si>
    <t>Name in the dataset folder</t>
  </si>
  <si>
    <t>Corresponding Author's mail address if data is not available</t>
  </si>
  <si>
    <t>Data included in OpAQ
1 = yes, 0 = no</t>
  </si>
  <si>
    <t>Permission to make data public
1 = yes, 2 = data is already open, 0 = no</t>
  </si>
  <si>
    <t>notes</t>
  </si>
  <si>
    <t xml:space="preserve">Anmerkungen Zugang zur Aufgabe Paulina </t>
  </si>
  <si>
    <t>Adame, B. J. (2016). Training in the mitigation of anchoring bias: A test of the consider-the-opposite strategy. Learning and Motivation, 53, 36–48. doi: https://doi.org/10.1016/j.lmot.2015.11.002 https://doi.org/10.1016/j.lmot.2015.11.002</t>
  </si>
  <si>
    <t>Adame, BJ</t>
  </si>
  <si>
    <t>Training in the mitigation of anchoring bias: A test of the consider-the-opposite strategy</t>
  </si>
  <si>
    <t>10.1016/j.lmot.2015.11.002</t>
  </si>
  <si>
    <t>https://doi.org/10.1016/j.lmot.2015.11.002</t>
  </si>
  <si>
    <t>badame@ou.edu</t>
  </si>
  <si>
    <t>nummerisch: M, SE, CI ?</t>
  </si>
  <si>
    <t>Adaval, R., &amp; Wyer Jr, R. S. (2011). Conscious and nonconscious comparisons with price anchors: Effects on willingness to pay for related and unrelated products. Journal of Marketing Research, 48(2), 355-365. DOI: 10.2307/23033436</t>
  </si>
  <si>
    <t>Adaval, R; Wyer, RS</t>
  </si>
  <si>
    <t>Conscious and Nonconscious Comparisons with Price Anchors: Effects on Willingness to Pay for Related and Unrelated Products</t>
  </si>
  <si>
    <t>10.1509%2Fjmkr.48.2.355</t>
  </si>
  <si>
    <t>https://doi.org/10.1509%2Fjmkr.48.2.355</t>
  </si>
  <si>
    <t>adavalri@ucmail.uc.edu</t>
  </si>
  <si>
    <t>Apostal, K. J. (2005). The effects of punitive damage limitations and split-recovery statutes on mock jurors' damage awards. The University of North Dakota.</t>
  </si>
  <si>
    <t>Apostal, Kathryn Jean</t>
  </si>
  <si>
    <t>The effects of punitive damage limitations and split-recovery statutes on mock jurors' damage awards.</t>
  </si>
  <si>
    <t>doi can't be found</t>
  </si>
  <si>
    <t>Bahník, Š. (2021). Anchoring without scale distortion. Judgment and Decision Making, 16(1), 131. doi: 10.31234/osf.io/2q8hj</t>
  </si>
  <si>
    <t>Bahnik, S</t>
  </si>
  <si>
    <t>Anchoring without scale distortion</t>
  </si>
  <si>
    <t>10.31234/osf.io/2q8hj</t>
  </si>
  <si>
    <t>https://doi.org/10.31234/osf.io/2q8hj</t>
  </si>
  <si>
    <t>OSF | Abolute results.txt</t>
  </si>
  <si>
    <t>4_Daten von Bahník</t>
  </si>
  <si>
    <t>before 12/21</t>
  </si>
  <si>
    <t>eher statistische Kennwerte als nummerische?</t>
  </si>
  <si>
    <t xml:space="preserve">Bahník, Š., Houdek, P., Vrbová, L., &amp; Hájek, J. (2019). Variations on anchoring: Sequential anchoring revisited. Judgment &amp; Decision Making, 16(6).
ISO 690	</t>
  </si>
  <si>
    <t>Variations on anchoring: Sequential anchoring revisited</t>
  </si>
  <si>
    <t/>
  </si>
  <si>
    <t>http://journal.sjdm.org/19/190304a/jdm190304a.pdf</t>
  </si>
  <si>
    <t>OSF | data_processed_en.txt</t>
  </si>
  <si>
    <t>6_Daten von Bahnik, Houdek, Vrbova, Hajek</t>
  </si>
  <si>
    <t>Bahník, Š., &amp; Strack, F. (2016). Overlap of accessible information undermines the anchoring effect. Judgment and Decision Making, 11(1).</t>
  </si>
  <si>
    <t>Overlap of accessible information undermines the anchoring effect</t>
  </si>
  <si>
    <t>OSF | Overlap of Accessible Information Undermines the Anchoring Effect</t>
  </si>
  <si>
    <t>7_Daten von Bahník, Strack</t>
  </si>
  <si>
    <t>doi can't be found, M/CI als statistische Kennwerte</t>
  </si>
  <si>
    <t>Banai, K., &amp; Yifat, R. (2012). Anchoring in 4-to 6-year-old children relates to predictors of reading. Journal of Experimental Child Psychology, 112(4), 403-416. doi: 10.1016/j.jecp.2012.04.008</t>
  </si>
  <si>
    <t>Anchoring in 4-to 6-year-old children relates to predictors of reading</t>
  </si>
  <si>
    <t>10.1016/j.jecp.2012.04.008</t>
  </si>
  <si>
    <t>https://doi.org/10.1016/j.jecp.2012.04.008</t>
  </si>
  <si>
    <t>kbanai@research.haifa.ac.il</t>
  </si>
  <si>
    <t>Bieneck, S. (2006). Soziale Informationsverarbeitung in der juristischen Urteilsfindung: experimentelle Untersuchungen zur Ankerheuristik (Doctoral dissertation, Universität Potsdam).</t>
  </si>
  <si>
    <t>Bieneck, Steffen</t>
  </si>
  <si>
    <t>Soziale Informationsverarbeitung in der juristischen Urteilsfindung: experimentelle Untersuchungen in der Ankerheuristik</t>
  </si>
  <si>
    <t>doi can't be found; M als numerischer Anker</t>
  </si>
  <si>
    <t>Blankenship, K. L., Wegener, D. T., Petty, R. E., Detweiler-Bedell, B., &amp; Macy, C. L. (2008). Elaboration and consequences of anchored estimates: An attitudinal perspective on numerical anchoring. Journal of Experimental Social Psychology, 44(6), 1465-1476. doi: 10.1016/j.jesp.2008.07.005</t>
  </si>
  <si>
    <t>Blankenship, KL; Wegener, DT; Petty, RE; Detweiler-Bedell, B; Macy, CL</t>
  </si>
  <si>
    <t>Elaboration and consequences of anchored estimates: An attitudinal perspective on numerical anchoring</t>
  </si>
  <si>
    <t>10.1016/j.jesp.2008.07.005</t>
  </si>
  <si>
    <t>https://doi.org/10.1016/j.jesp.2008.07.005</t>
  </si>
  <si>
    <t>wegener.1@osu.edu</t>
  </si>
  <si>
    <t xml:space="preserve">Kriterium erfüllt (1), wenn M etc. als numerische Schätzung gilt </t>
  </si>
  <si>
    <t>Bodenhausen, G. V., Gabriel, S., &amp; Lineberger, M. (2000). Sadness and susceptibility to judgmental bias: The case of anchoring. Psychological Science, 11(4), 320-323. doi: 10.1111/1467-9280.00263</t>
  </si>
  <si>
    <t>Bodenhausen, GV; Gabriel, S; Lineberger, M</t>
  </si>
  <si>
    <t>Sadness and susceptibility to judgmental bias: The case of anchoring</t>
  </si>
  <si>
    <t>10.1111/1467-9280.00263</t>
  </si>
  <si>
    <t>https://doi.org/10.1111/1467-9280.00263</t>
  </si>
  <si>
    <t>galen@nwu.edu</t>
  </si>
  <si>
    <t>Bogliacino, F., &amp; Cuntz, A. (2013). Price anchoring in online markets: an empirical assessment. Revista Latinoamericana de Psicología, 45(2), 211-221. doi: https://doi.org/10.14349/rlp.v45i2.1391</t>
  </si>
  <si>
    <t>Bogliacino, Francesco; Cuntz, Alexander</t>
  </si>
  <si>
    <t>Price anchoring in online markets: An empirical assessment.</t>
  </si>
  <si>
    <t>francesco.bogliacino@ gmail.com</t>
  </si>
  <si>
    <t>Brandt, M. J., Evans, A. M., &amp; Crawford, J. T. (2015). The unthinking or confident extremist? Political extremists are more likely than moderates to reject experimenter-generated anchors. Psychological Science, 26(2), 189-202.doi: 10.1177/0956797614559730</t>
  </si>
  <si>
    <t>Brandt, MJ; Evans, AM; Crawford, JT</t>
  </si>
  <si>
    <t>The Unthinking or Confident Extremist? Political Extremists Are More Likely Than Moderates to Reject Experimenter-Generated Anchors</t>
  </si>
  <si>
    <t>10.1177/0956797614559730</t>
  </si>
  <si>
    <t>https://doi.org/10.1177/0956797614559730</t>
  </si>
  <si>
    <t>OSF | Datasets.zip</t>
  </si>
  <si>
    <t>13_Daten des Many Labs Project</t>
  </si>
  <si>
    <t xml:space="preserve">Kriterium nicht erfüllt. Da kein numerische Schätzung </t>
  </si>
  <si>
    <t>Brewer, N. T., &amp; Chapman, G. B. (2002). The fragile basic anchoring effect. Journal of Behavioral Decision Making, 15(1), 65-77. doi: 10.1002/bdm.403</t>
  </si>
  <si>
    <t>Brewer, NT; Chapman, GB</t>
  </si>
  <si>
    <t>The fragile basic anchoring effect</t>
  </si>
  <si>
    <t>10.1002/bdm.403</t>
  </si>
  <si>
    <t>https://doi.org/10.1002/bdm.403</t>
  </si>
  <si>
    <t>ntb@unc.edu</t>
  </si>
  <si>
    <t>Brown, N. R., &amp; Siegler, R. S. (2001). Seeds aren’t anchors. Memory &amp; Cognition, 29(3), 405-412. doi: 10.3758/BF03196391</t>
  </si>
  <si>
    <t>Brown, NR; Siegler, RS</t>
  </si>
  <si>
    <t>Seeds aren't anchors</t>
  </si>
  <si>
    <t>10.3758/BF03196391</t>
  </si>
  <si>
    <t>https://doi.org/10.3758/BF03196391</t>
  </si>
  <si>
    <t>norman.brown@ualberta.ca</t>
  </si>
  <si>
    <t xml:space="preserve">Kriterium nicht erfüllt, da advice taking Paradigma </t>
  </si>
  <si>
    <t>Burton, S., Lichtenstein, D. R., &amp; Herr, P. M. (1993). An Examination of the Effects of Information Consistency and Distinctiveness in a Reference‐Price Advertisement Context. Journal of Applied Social Psychology, 23(24), 2074-2092. doi: 10.1111/j.1559-1816.1993.tb01080.x</t>
  </si>
  <si>
    <t>BURTON, S; LICHTENSTEIN, DR; HERR, PM</t>
  </si>
  <si>
    <t>AN EXAMINATION OF THE EFFECTS OF INFORMATION CONSISTENCY AND DISTINCTIVENESS IN A REFERENCE-PRICE ADVERTISEMENT CONTEXT</t>
  </si>
  <si>
    <t>10.1111/j.1559-1816.1993.tb01080.x</t>
  </si>
  <si>
    <t>https://doi.org/10.1111/j.1559-1816.1993.tb01080.x</t>
  </si>
  <si>
    <t>sburton@uark.edu</t>
  </si>
  <si>
    <t>Carroll, S. R., Petrusic, W. M., &amp; Leth-Steensen, C. (2009). Anchoring effects in the judgment of confidence: Semantic or numeric priming?. Attention, Perception, &amp; Psychophysics, 71(2), 297-307. doi: 10.3758/APP.71.2.297</t>
  </si>
  <si>
    <t>Carroll, SR; Petrusic, WM; Leth-Steensen, C</t>
  </si>
  <si>
    <t>Anchoring effects in the judgment of confidence: Semantic or numeric priming?</t>
  </si>
  <si>
    <t>10.3758/APP.71.2.297</t>
  </si>
  <si>
    <t>https://doi.org/10.3758/APP.71.2.297</t>
  </si>
  <si>
    <t>bill_petrusic@carleton.ca</t>
  </si>
  <si>
    <t>Caverni, J. P., &amp; Péris, J. L. (1990). The Anchoring-Adjustement Heuristic in an" Information Rich, Real World Setting": Knowledge Assessment by Experts. In Advances in psychology(Vol. 68, pp. 35-45). North-Holland</t>
  </si>
  <si>
    <t>Caverni, Jean-Paul; Péris, Jean-Luc</t>
  </si>
  <si>
    <t>The anchoring-adjustment heuristic in an 'information rich, real world setting': Knowledge assessment by experts.</t>
  </si>
  <si>
    <t>10.1016/S0166-4115(08)61313-8</t>
  </si>
  <si>
    <t>"https://doi.org/"&amp;D19</t>
  </si>
  <si>
    <t>Cervone, D., &amp; Peake, P. K. (1986). Anchoring, efficacy, and action: The influence of judgmental heuristics on self-efficacy judgments and behavior. Journal of Personality and social Psychology, 50(3), 492.</t>
  </si>
  <si>
    <t>CERVONE, D; PEAKE, PK</t>
  </si>
  <si>
    <t>ANCHORING, EFFICACY, AND ACTION - THE INFLUENCE OF JUDGMENTAL HEURISTICS ON SELF-EFFICACY JUDGMENTS AND BEHAVIOR</t>
  </si>
  <si>
    <t>10.1037/0022-3514.50.3.492</t>
  </si>
  <si>
    <t>https://doi.org/10.1037/0022-3514.50.3.492</t>
  </si>
  <si>
    <t>dcervone@uic.edu</t>
  </si>
  <si>
    <t>Ceschi, A., Costantini, A., Sartori, R., Weller, J., &amp; Di Fabio, A. (2019). Dimensions of decision-making: An evidence-based classification of heuristics and biases. Personality and Individual Differences, 146, 188-200</t>
  </si>
  <si>
    <t>Ceschi, A; Costantini, A; Sartori, R; Weller, J; Di Fabio, A</t>
  </si>
  <si>
    <t>Dimensions of decision-making: An evidence-based classification of heuristics and biases</t>
  </si>
  <si>
    <t>10.1016/j.paid.2018.07.033</t>
  </si>
  <si>
    <t>https://doi.org/10.1016/j.paid.2018.07.033</t>
  </si>
  <si>
    <t>andrea.ceschi@univr.it</t>
  </si>
  <si>
    <t>Access just by payment</t>
  </si>
  <si>
    <t>Chapman, G. B., &amp; Bornstein, B. H. (1996). The more you ask for, the more you get: Anchoring in personal injury verdicts. Applied cognitive psychology, 10(6), 519-540.</t>
  </si>
  <si>
    <t>Chapman, GB; Bornstein, BH</t>
  </si>
  <si>
    <t>The more you ask for, the more you get: Anchoring in personal injury verdicts</t>
  </si>
  <si>
    <t>10.1002/(SICI)1099-0720(199612)10:6&lt;519::AID-ACP417&gt;3.3.CO;2-X</t>
  </si>
  <si>
    <t>https://doi.org/10.1002/(SICI)1099-0720(199612)10:6&lt;519::AID-ACP417&gt;3.3.CO;2-X</t>
  </si>
  <si>
    <t>gchapman@andrew.cmu.edu</t>
  </si>
  <si>
    <t>Chapman, G. B., &amp; Johnson, E. J. (1999). Anchoring, activation, and the construction of values. Organizational behavior and human decision processes, 79(2), 115-153.https://doi.org/10.1006/obhd.1999.2841</t>
  </si>
  <si>
    <t>Chapman, GB; Johnson, EJ</t>
  </si>
  <si>
    <t>Anchoring, activation, and the construction of values</t>
  </si>
  <si>
    <t>10.1006/obhd.1999.2841</t>
  </si>
  <si>
    <t>https://doi.org/10.1006/obhd.1999.2841</t>
  </si>
  <si>
    <t>Chapman, G. B., &amp; Johnson, E. J. (1994). The limits of anchoring. Journal of Behavioral Decision Making, 7(4), 223-242. doi: 10.1002/bdm.3960070402</t>
  </si>
  <si>
    <t>CHAPMAN, GB; JOHNSON, EJ</t>
  </si>
  <si>
    <t>THE LIMITS OF ANCHORING</t>
  </si>
  <si>
    <t>10.1002/bdm.3960070402</t>
  </si>
  <si>
    <t>https://doi.org/10.1002/bdm.3960070402</t>
  </si>
  <si>
    <t>Schwartz, B. (2015). What have I just done? Anchoring, self-knowledge and judgments of recent behavior. Judgment and Decision Making, 10(1), 76.</t>
  </si>
  <si>
    <t>Cheek, NN; Coe-Odess, S; Schwartz, B</t>
  </si>
  <si>
    <t>What have I just done? Anchoring, self-knowledge, and judgments of recent behavior</t>
  </si>
  <si>
    <t>bschwar1@swarthmore.edu</t>
  </si>
  <si>
    <t xml:space="preserve">doi can't be found, data might be available </t>
  </si>
  <si>
    <t>Cheek, N. N., &amp; Norem, J. K. (2020). Are big five traits and facets associated with anchoring susceptibility?. Social Psychological and Personality Science, 11(1), 26-35.https://doi.org/10.1177/1948550619837001</t>
  </si>
  <si>
    <t>Cheek, NN; Norem, JK</t>
  </si>
  <si>
    <t>Are Big Five Traits and Facets Associated With Anchoring Susceptibility?</t>
  </si>
  <si>
    <t>10.1177/1948550619837001</t>
  </si>
  <si>
    <t>https://doi.org/10.1177/1948550619837001</t>
  </si>
  <si>
    <t>OSF | Anchoring and the Big Five</t>
  </si>
  <si>
    <t>25_Daten von Cheek, Norem_Big5</t>
  </si>
  <si>
    <t>Cheek, N. N., Norem, J. K., Zwaan, R., &amp; Inbar, Y. (2018). On moderator detection in anchoring research: Implications of ignoring estimate direction. Collabra: Psychology, 4(1). Doi: 10.1525/collabra.125</t>
  </si>
  <si>
    <t>On Moderator Detection in Anchoring Research: Implications of Ignoring Estimate Direction</t>
  </si>
  <si>
    <t>10.1525/collabra.125</t>
  </si>
  <si>
    <t>https://doi.org/10.1525/collabra.125</t>
  </si>
  <si>
    <t>OSF | Implications of ignoring estimate direction in anchoring research</t>
  </si>
  <si>
    <t>26_Daten von Cheek, Norem_Ignoring</t>
  </si>
  <si>
    <t>no original data (data is already in OpAQ bc it was published as part of a different article)</t>
  </si>
  <si>
    <t>Cheek, N. N., &amp; Norem, J. K. (2017). Holistic thinkers anchor less: Exploring the roles of self-construal and thinking styles in anchoring susceptibility. Personality and Individual Differences, 115, 174-176. doi:  https://doi.org/10.1016/j.paid.2016.01.034</t>
  </si>
  <si>
    <t>Holistic thinkers anchor less: Exploring the roles of self-construal and thinking styles in anchoring susceptibility</t>
  </si>
  <si>
    <t>10.1016/j.paid.2016.01.034</t>
  </si>
  <si>
    <t>https://doi.org/10.1016/j.paid.2016.01.034</t>
  </si>
  <si>
    <t>OSF | Cheek &amp; Norem 2017 Data.sav</t>
  </si>
  <si>
    <t>27_Daten von Cheek, Nore_Holistic</t>
  </si>
  <si>
    <t>Critcher, C. R., &amp; Gilovich, T. (2008). Incidental environmental anchors. Journal of Behavioral Decision Making, 21(3), 241-251. https://doi.org/10.1002/bdm.586</t>
  </si>
  <si>
    <t>Critcher, CR; Gilovich, T</t>
  </si>
  <si>
    <t>Incidental environmental anchors</t>
  </si>
  <si>
    <t>10.1002/bdm.586</t>
  </si>
  <si>
    <t>https://doi.org/10.1002/bdm.586</t>
  </si>
  <si>
    <t>ClaytonCritcher@haas.berkeley.edu</t>
  </si>
  <si>
    <t>de Wilde, T. R., Ten Velden, F. S., &amp; De Dreu, C. K. (2018). The anchoring-bias in groups. Journal of Experimental Social Psychology, 76, 116-126.https://doi.org/10.1016/j.jesp.2018.02.001</t>
  </si>
  <si>
    <t>de Wilde, TRW; Ten Velden, FS; De Dreu, CKW</t>
  </si>
  <si>
    <t>The anchoring-bias in groups</t>
  </si>
  <si>
    <t>10.1016/j.jesp.2018.02.001</t>
  </si>
  <si>
    <t>https://doi.org/10.1016/j.jesp.2018.02.001</t>
  </si>
  <si>
    <t>no individual level judgments but group judgments</t>
  </si>
  <si>
    <t xml:space="preserve">Mentioned that data can be accessed by doi.org/10.1016/j.jesp.2018.02.001 (extra) but no access for Uni Bamberg </t>
  </si>
  <si>
    <t>Dowd, K. W., Petrocelli, J. V., &amp; Wood, M. T. (2014). Integrating information from multiple sources: A metacognitive account of self-generated and externally provided anchors. Thinking &amp; reasoning, 20(3), 315-332. https://doi.org/10.1080/13546783.2013.811442</t>
  </si>
  <si>
    <t>Dowd, KW; Petrocelli, JV; Wood, MT</t>
  </si>
  <si>
    <t>Integrating information from multiple sources: A metacognitive account of self-generated and externally provided anchors</t>
  </si>
  <si>
    <t>10.1080/13546783.2013.811442</t>
  </si>
  <si>
    <t>https://doi.org/10.1080/13546783.2013.811442</t>
  </si>
  <si>
    <t>petrocjv@wfu.edu</t>
  </si>
  <si>
    <t>Dudeková, K. (2014). CAN SHIP MOVE WITH LOWERED ANCHOR? EFFECTS OF FOREWARNING AND OVERCONFIDENCE ON SELF-GENERATED AND EXTERNALLY PROVIDED ANCHORS. In International Multidisciplinary Scientific Conferences On Social Sciences And Arts SGEM 2014 (pp. 31-38). doi: 10.5593/sgemsocial2014/B11/S1.005</t>
  </si>
  <si>
    <t>Dudekova, K</t>
  </si>
  <si>
    <t>CAN SHIP MOVE WITH LOWERED ANCHOR? EFFECTS OF FOREWARNING AND OVERCONFIDENCE ON SELF-GENERATED AND EXTERNALLY PROVIDED ANCHORS</t>
  </si>
  <si>
    <t>10.5593/sgemsocial2014/B11/S1.005</t>
  </si>
  <si>
    <t>https://doi.org/10.5593/sgemsocial2014/B11/S1.005</t>
  </si>
  <si>
    <t>Katarína DUDEKOVÁ | Slovak Academy of Sciences, Bratislava | SAV | Institute of Experimental Psychology (researchgate.net)</t>
  </si>
  <si>
    <t>Elaad, E., Sayag, N., &amp; Ezer, A. (2010). Effects of anchoring and adjustment in the evaluation of product pricing. Psychological reports, 107(1), 58-60. Doi: 10.2466/01.PR0.107.4.58-60</t>
  </si>
  <si>
    <t>Elaad, E; Sayag, N; Ezer, A</t>
  </si>
  <si>
    <t>EFFECTS OF ANCHORING AND ADJUSTMENT IN THE EVALUATION OF PRODUCT PRICING</t>
  </si>
  <si>
    <t>10.2466/01.PR0.107.4.58-60</t>
  </si>
  <si>
    <t>https://doi.org/10.2466/01.PR0.107.4.58-60</t>
  </si>
  <si>
    <t>elaad@netvision.net.il</t>
  </si>
  <si>
    <t>Englich, B. (2008). When knowledge matters—differential effects of available knowledge in standard and basic anchoring tasks. European Journal of Social Psychology, 38(5), 896-904. https://doi.org/10.1002/ejsp.479</t>
  </si>
  <si>
    <t>Englich, B</t>
  </si>
  <si>
    <t>When knowledge matters - differential effects of available knowledge in standard and basic anchoring tasks</t>
  </si>
  <si>
    <t>10.1002/ejsp.479</t>
  </si>
  <si>
    <t>https://doi.org/10.1002/ejsp.479</t>
  </si>
  <si>
    <t xml:space="preserve"> scc-applied@uni-koeln.de</t>
  </si>
  <si>
    <t>all authors deceased; alternative E-Mail;</t>
  </si>
  <si>
    <t>requested on research gate</t>
  </si>
  <si>
    <t>Englich, B. (2005). " Give him five years!"-Influences of partisan hecklers on judges' sentencing decisions. ZEITSCHRIFT FUR SOZIALPSYCHOLOGIE, 36(4), 215-225. https://doi.org/10.1024/0044-3514.36.4.215</t>
  </si>
  <si>
    <t>Give him five years! - Influences of partisan hecklers on judges' sentencing decisions</t>
  </si>
  <si>
    <t>10.1024/0044-3514.36.4.215</t>
  </si>
  <si>
    <t>https://doi.org/10.1024/0044-3514.36.4.215</t>
  </si>
  <si>
    <t xml:space="preserve">all authors deceased; alternative E-Mail; </t>
  </si>
  <si>
    <t>Enough, B., &amp; Mussweiler, T. (2001). Sentencing under uncertainty: Anchoring effects in the courtroom 1. Journal of applied social psychology, 31(7), 1535-1551.doi: https://doi.org/10.1111/j.1559-1816.2001.tb02687.x</t>
  </si>
  <si>
    <t>Englich, B; Mussweiler, T</t>
  </si>
  <si>
    <t>Sentencing under uncertainty: Anchoring effects in the courtroom</t>
  </si>
  <si>
    <t>10.1111/j.1559-1816.2001.tb02687.x</t>
  </si>
  <si>
    <t>https://doi.org/10.1111/j.1559-1816.2001.tb02687.x</t>
  </si>
  <si>
    <t>tmussweiler@london.edu</t>
  </si>
  <si>
    <t>corresponding author deceased; alternative E-Mail</t>
  </si>
  <si>
    <t>Englich, B., Mussweiler, T., &amp; Strack, F. (2005). The last word in court—A hidden disadvantage for the defense. Law and Human Behavior, 29(6), 705-722.doi: 10.1007/s10979-005-8380-7</t>
  </si>
  <si>
    <t>Englich, B; Mussweiler, T; Strack, F</t>
  </si>
  <si>
    <t>The last word in court - A hidden disadvantage for the defense</t>
  </si>
  <si>
    <t>10.1007/s10979-005-8380-7</t>
  </si>
  <si>
    <t>https://doi.org/10.1007/s10979-005-8380-7</t>
  </si>
  <si>
    <t>tmussweiler@london.edu; strack@psychologie.uni-wuerzburg.de</t>
  </si>
  <si>
    <t>Englich, B., Mussweiler, T., &amp; Strack, F. (2006). Playing dice with criminal sentences: The influence of irrelevant anchors on experts’ judicial decision making. Personality and Social Psychology Bulletin, 32(2), 188-200. doi: 10.1177/0146167205282152</t>
  </si>
  <si>
    <t>Playing dice with criminal sentences: The influence of irrelevant anchors on experts judicial decision making</t>
  </si>
  <si>
    <t>10.1177/0146167205282152</t>
  </si>
  <si>
    <t>https://doi.org/10.1177/0146167205282152</t>
  </si>
  <si>
    <t xml:space="preserve">Englich, B., &amp; Soder, K. (2009). Moody experts---How mood and expertise influence judgmental anchoring. Judgment and Decision making, 4(1), 41. </t>
  </si>
  <si>
    <t>Englich, B; Soder, K</t>
  </si>
  <si>
    <t>Moody experts - How mood and expertise influence judgmental anchoring</t>
  </si>
  <si>
    <t>corresponding author deceased</t>
  </si>
  <si>
    <t>Epley, N., &amp; Gilovich, T. (2004). Are adjustments insufficient?. Personality and Social Psychology Bulletin, 30(4), 447-460. doi: 10.1177/0146167203261889</t>
  </si>
  <si>
    <t>Epley, N; Gilovich, T</t>
  </si>
  <si>
    <t>Are adjustments insufficient?</t>
  </si>
  <si>
    <t>10.1177/0146167203261889</t>
  </si>
  <si>
    <t>https://doi.org/10.1177/0146167203261889</t>
  </si>
  <si>
    <t>epley@chicagobooth.edu</t>
  </si>
  <si>
    <t>Epley, N., &amp; Gilovich, T. (2001). Putting adjustment back in the anchoring and adjustment heuristic: Differential processing of self-generated and experimenter-provided anchors. Psychological science, 12(5), 391-396. doi: https://doi.org/10.1111/1467-9280.00372</t>
  </si>
  <si>
    <t>Putting adjustment sack in the anchoring and adjustment heuristic: Differential processing of self-generated and experimenter-provided anchors</t>
  </si>
  <si>
    <t>10.1111/1467-9280.00372</t>
  </si>
  <si>
    <t>https://doi.org/10.1111/1467-9280.00372</t>
  </si>
  <si>
    <t>Epley, N., &amp; Gilovich, T. (2006). The anchoring-and-adjustment heuristic: Why the adjustments are insufficient. Psychological science, 17(4), 311-318. doi: 10.1111/j.1467-9280.2006.01704.x</t>
  </si>
  <si>
    <t>The anchoring-and-adjustment heuristic</t>
  </si>
  <si>
    <t>10.1111/j.1467-9280.2006.01704.x</t>
  </si>
  <si>
    <t>https://doi.org/10.1111/j.1467-9280.2006.01704.x</t>
  </si>
  <si>
    <t>Epley, N., &amp; Gilovich, T. (2005). When effortful thinking influences judgmental anchoring: differential effects of forewarning and incentives on self‐generated and externally provided anchors. Journal of Behavioral Decision Making, 18(3), 199-212. doi: 10.1002/bdm.495</t>
  </si>
  <si>
    <t>When effortful thinking influences judgmental anchoring: Differential effects of forewarning and incentives on self-generated and externally provided anchors</t>
  </si>
  <si>
    <t>10.1002/bdm.495</t>
  </si>
  <si>
    <t>https://doi.org/10.1002/bdm.495</t>
  </si>
  <si>
    <t>Frech, M. L., Loschelder, D. D., &amp; Friese, M. (2019). How and why different forms of expertise moderate anchor precision in price decisions. Experimental Psychology.doi: https://doi.org/10.1027/1618-3169/a000441</t>
  </si>
  <si>
    <t>Frech, ML; Loschelder, DD; Friese, M</t>
  </si>
  <si>
    <t>How and Why Different Forms of Expertise Moderate Anchor Precision in Price Decisions</t>
  </si>
  <si>
    <t>10.1027/1618-3169/a000441</t>
  </si>
  <si>
    <t>https://doi.org/10.1027/1618-3169/a000441</t>
  </si>
  <si>
    <t>OSF | How and why different forms of expertise moderate anchor precision in price decisions: A pre-registered field experiment</t>
  </si>
  <si>
    <t>43_Daten von Frech, Loschelder, Friese</t>
  </si>
  <si>
    <t>only high anchors</t>
  </si>
  <si>
    <t>Frech, M. L., Loschelder, D. D., &amp; Friese, M. (2020). How attribution-of-competence and scale-granularity explain the anchor precision effect in negotiations and estimations. Social Cognition, 38(1), 40-61.doi: https://doi.org/10.1521/soco.2020.38.1.40</t>
  </si>
  <si>
    <t>HOW ATTRIBUTION-OF-COMPETENCE AND SCALE-GRANULARITY EXPLAIN THE ANCHOR PRECISION EFFECT IN NEGOTIATIONS AND ESTIMATIONS</t>
  </si>
  <si>
    <t>OSF | How scale-granularity and attribution-of-competence affect anchoring effects in estimation tasks</t>
  </si>
  <si>
    <t>OSF | How scale-granularity and attribution-of-competence affect anchoring effects in negotiation and estimations.</t>
  </si>
  <si>
    <t>44_Daten von Frech, Loschelder, Friese_SCALE-GRANULARITY</t>
  </si>
  <si>
    <t xml:space="preserve">only high anchors; </t>
  </si>
  <si>
    <t>Frederick, S. W., &amp; Mochon, D. (2012). A scale distortion theory of anchoring. Journal of Experimental Psychology: General, 141(1), 124. doi: 10.1037/a0024006</t>
  </si>
  <si>
    <t>Frederick, SW; Mochon, D</t>
  </si>
  <si>
    <t>A Scale Distortion Theory of Anchoring</t>
  </si>
  <si>
    <t>10.1037/a0024006</t>
  </si>
  <si>
    <t>https://doi.org/10.1037/a0024006</t>
  </si>
  <si>
    <t>shane.frederick@yale.edu</t>
  </si>
  <si>
    <t>Freira, L., Sartorio, M., Boruchowicz, C., Boo, F. L., &amp; Navajas, J. (2020). The irrational interplay between partisanship, beliefs about the severity of the COVID-19 pandemic, and support for policy interventions. Doi: https://doi.org/10.31234/osf.io/4cgfw</t>
  </si>
  <si>
    <t>Freira, L., Sartorio, M., Boruchowicz, C., Boo, F. L., &amp; Navajas, J.</t>
  </si>
  <si>
    <t>The irrational interplay between partisanship, beliefs about the severity of the COVID-19 pandemic, and support for policy interventions</t>
  </si>
  <si>
    <t>https://doi.org/10.31234/osf.io/4cgfw</t>
  </si>
  <si>
    <t>OSF | The interplay between partisanship, forecasted COVID-19 deaths, and support for preventive policies</t>
  </si>
  <si>
    <t>49_Daten von Freira, Sartorio, Boruchowicz, Boo, Navajas</t>
  </si>
  <si>
    <t>Furnham, A., Boo, H. C., &amp; McClelland, A. (2012). Individual differences and the susceptibility to the influence of anchoring cues. Journal of Individual Differences. Doi: https://doi.org/10.1027/1614-0001/a000076</t>
  </si>
  <si>
    <t>Furnham, A; Boo, HC; McClelland, A</t>
  </si>
  <si>
    <t>Individual Differences and the Susceptibility to the Influence of Anchoring Cues</t>
  </si>
  <si>
    <t>10.1027/1614-0001/a000076</t>
  </si>
  <si>
    <t>https://doi.org/10.1027/1614-0001/a000076</t>
  </si>
  <si>
    <t>a.furnham@ucl.ac.uk</t>
  </si>
  <si>
    <t>Furnham, A., &amp; Boo, H. C. (2011). A literature review of the anchoring effect. The journal of socio-economics, 40(1), 35-42. doi: 10.1027/1614-0001/a000076</t>
  </si>
  <si>
    <t>Furnham, Adrian; Boo, Hua Chu</t>
  </si>
  <si>
    <t>A literature review of the anchoring effect.</t>
  </si>
  <si>
    <t>10.1016/j.socec.2010.10.008</t>
  </si>
  <si>
    <t>https://doi.org/10.1016/j.socec.2010.10.008</t>
  </si>
  <si>
    <t>García-Molina, M., &amp; Chicaiza-Becerra, L. A. (2017). Anchoring bias in face-to-face Time-Trade-Off valuations of health states. Revista de Salud Pública, 19, 686-690. doi: 10.15446/rsap.v19n5.60924</t>
  </si>
  <si>
    <t>García-Molina M; Chicaiza-Becerra LA</t>
  </si>
  <si>
    <t>Anchoring bias in face-to-face Time-Trade-Off valuations of health states.</t>
  </si>
  <si>
    <t>10.15446/rsap.v19n5.60924</t>
  </si>
  <si>
    <t>https://doi.org/10.15446/rsap.v19n5.60924</t>
  </si>
  <si>
    <t>mgarciamo@unal.edu.co</t>
  </si>
  <si>
    <t xml:space="preserve">descriptive data in tables available </t>
  </si>
  <si>
    <t>Glöckner, A., &amp; Englich, B. (2015). When relevance matters. Social Psychology. Doi: https://doi.org/10.1027/1864-9335/a000214</t>
  </si>
  <si>
    <t>Glockner, A; Englich, B</t>
  </si>
  <si>
    <t>When Relevance Matters Anchoring Effects Can be Larger for Relevant Than for Irrelevant Anchors</t>
  </si>
  <si>
    <t>10.1027/1864-9335/a000214</t>
  </si>
  <si>
    <t>https://doi.org/10.1027/1864-9335/a000214</t>
  </si>
  <si>
    <t>andreas.gloeckner@psych.uni-goettingen.de</t>
  </si>
  <si>
    <t>Grau, I., &amp; Bohner, G. (2014). Anchoring revisited: The role of the comparative question. PloS one, 9(1), e86056. doi: 10.1371/journal.pone.0086056</t>
  </si>
  <si>
    <t>Grau I; Bohner G</t>
  </si>
  <si>
    <t>Anchoring revisited: the role of the comparative question.</t>
  </si>
  <si>
    <t>10.1371/journal.pone.0086056</t>
  </si>
  <si>
    <t>https://doi.org/10.1371/journal.pone.0086056</t>
  </si>
  <si>
    <t>igrau@uni-bonn.de</t>
  </si>
  <si>
    <t>Greenstein, M., &amp; Velazquez, A. (2017). Not all Anchors Weigh Equally. Experimental psychology. Doi: 10.1027/1618-3169/a000383</t>
  </si>
  <si>
    <t>Greenstein, M; Velazquez, A</t>
  </si>
  <si>
    <t>Not all Anchors Weigh Equally Differences Between Numeral and Verbal Anchors</t>
  </si>
  <si>
    <t>10.1027/1618-3169/a000383</t>
  </si>
  <si>
    <t>https://doi.org/10.1027/1618-3169/a000383</t>
  </si>
  <si>
    <t xml:space="preserve">"Raw data available with online version" (https://econtent.hogrefe.com/doi/10.1027/1618-3169/a000383) but 404 code </t>
  </si>
  <si>
    <t xml:space="preserve">Harris, A. J., Blower, F. B., Rodgers, S. A., Lagator, S., Page, E., Burton, A., ... &amp; Speekenbrink, M. (2019). Failures to replicate a key result of the selective accessibility theory of anchoring. Journal of Experimental Psychology: General, 148(9), e30.  </t>
  </si>
  <si>
    <t>Harris, AJL; Blower, FBN; Rodgers, SA; Lagator, S; Page, E; Burton, A; Urlichich, D; Speekenbrink, M</t>
  </si>
  <si>
    <t>Failures to Replicate a Key Result of the Selective Accessibility Theory of Anchoring</t>
  </si>
  <si>
    <t>10.1037/xge0000644</t>
  </si>
  <si>
    <t>https://doi.org/10.1037/xge0000644</t>
  </si>
  <si>
    <t>OSF | Is anchor consistent knowledge subsequently more accessible, as measured by a lexical decision task? A replication.</t>
  </si>
  <si>
    <t>56_Daten von Harris, Blower, Rodgers, Lagator, Page, Burton, Urlichich</t>
  </si>
  <si>
    <t xml:space="preserve">Harris, A. J., &amp; Speekenbrink, M. (2016). Semantic cross-scale numerical anchoring. Judgment and Decision Making, 11(6), 572-581. doi: </t>
  </si>
  <si>
    <t>Harris, AJL; Speekenbrink, M</t>
  </si>
  <si>
    <t>Semantic cross-scale numerical anchoring</t>
  </si>
  <si>
    <t>adam.harris@ucl.ac.uk</t>
  </si>
  <si>
    <t>Helm, R. K., Hans, V. P., Reyna, V. F., &amp; Reed, K. (2020). Numeracy in the jury box: Numerical ability, meaningful anchors, and damage award decision making. Applied Cognitive Psychology, 34(2), 434-448. doi: https://doi.org/10.1002/acp.3629</t>
  </si>
  <si>
    <t>Helm, RK; Hans, VP; Reyna, VF; Reed, K</t>
  </si>
  <si>
    <t>Numeracy in the jury box: Numerical ability, meaningful anchors, and damage award decision making</t>
  </si>
  <si>
    <t>10.1002/acp.3629</t>
  </si>
  <si>
    <t>https://doi.org/10.1002/acp.3629</t>
  </si>
  <si>
    <t>r.k.helm@exeter.ac.uk</t>
  </si>
  <si>
    <t>data available on request</t>
  </si>
  <si>
    <t>Hsee, C. K., Yang, Y., &amp; Li, X. (2019). Relevance insensitivity: A new look at some old biases. Organizational Behavior and Human Decision Processes, 153, 13-26. doi: 10.1016/j.obhdp.2019.05.002</t>
  </si>
  <si>
    <t>Hsee, CK; Yang, Y; Lia, XL</t>
  </si>
  <si>
    <t>Relevance insensitivity: A new look at some old biases</t>
  </si>
  <si>
    <t>10.1016/j.obhdp.2019.05.002</t>
  </si>
  <si>
    <t>https://doi.org/10.1016/j.obhdp.2019.05.002</t>
  </si>
  <si>
    <t>Christopher.Hsee@chicagobooth.edu</t>
  </si>
  <si>
    <t>Hsiao, Hsiang-Ju; Lee, Ju-Whei</t>
  </si>
  <si>
    <t>The roles of number of anchors and anchor-consistency in anchoring effects.</t>
  </si>
  <si>
    <t xml:space="preserve">Article can't be found anymore </t>
  </si>
  <si>
    <t xml:space="preserve">Hügelschäfer, Sabine &amp; Achtziger, Anja. (2014). On Confident Men and Rational Women: It`s All on Your Mind(set).. Journal of Economic Psychology. 41. 31-44. 10.1016/j.joep.2013.04.001. </t>
  </si>
  <si>
    <t>Hugelschafer, S; Achtziger, A</t>
  </si>
  <si>
    <t>On confident men and rational women: It's all on your mind(set)</t>
  </si>
  <si>
    <t>10.1016/j.joep.2013.04.001</t>
  </si>
  <si>
    <t>https://doi.org/10.1016/j.joep.2013.04.001</t>
  </si>
  <si>
    <t>sabine.huegelschaefer@uni-koeln.de</t>
  </si>
  <si>
    <t>Hütter, M., &amp; Fiedler, K. (2019). Advice taking under uncertainty: the impact of genuine advice versus arbitrary anchors on judgment. Journal of Experimental Social Psychology, 85, 103829. doi: 10.1016/j.jesp.2019.103829</t>
  </si>
  <si>
    <t>Hutter, M; Fiedler, K</t>
  </si>
  <si>
    <t>Advice taking under uncertainty: The impact of genuine advice versus arbitrary anchors on judgment</t>
  </si>
  <si>
    <t>10.1016/j.jesp.2019.103829</t>
  </si>
  <si>
    <t>https://doi.org/10.1016/j.jesp.2019.103829</t>
  </si>
  <si>
    <t>https://zenodo.org/record/2593735</t>
  </si>
  <si>
    <t>62_Daten von Hütter, Fiedler</t>
  </si>
  <si>
    <t>advice-taking - not anchoring</t>
  </si>
  <si>
    <t>Hysenbelli, D., Rubaltelli, E., &amp; Rumiati, R. (2013). Others' opinions count, but not all of them: anchoring to ingroup versus outgroup members' behavior in charitable giving. Judgment &amp; Decision Making, 8(6).</t>
  </si>
  <si>
    <t>Hysenbelli, D; Rubaltelli, E; Rumiati, R</t>
  </si>
  <si>
    <t>Others' opinions count, but not all of them: anchoring to ingroup versus outgroup members' behavior in charitable giving</t>
  </si>
  <si>
    <t>Dorina Hysenbelli, PhD - Orientation &amp; Admission Manager - Talent Garden Innovation School | LinkedIn</t>
  </si>
  <si>
    <t>Jacowitz, K. E., &amp; Kahneman, D. (1995). Measures of anchoring in estimation tasks. Personality and Social Psychology Bulletin, 21(11), 1161-1166. doi: https://doi.org/10.1177/01461672952111004</t>
  </si>
  <si>
    <t>JACOWITZ, KE; KAHNEMAN, D</t>
  </si>
  <si>
    <t>MEASURES OF ANCHORING IN ESTIMATION TASKS</t>
  </si>
  <si>
    <t>10.1177/01461672952111004</t>
  </si>
  <si>
    <t>https://doi.org/10.1177/01461672952111004</t>
  </si>
  <si>
    <t>kahneman@princeton.edu</t>
  </si>
  <si>
    <t>Janiszewski, C., &amp; Uy, D. (2008). Precision of the anchor influences the amount of adjustment. Psychological Science, 19(2), 121-127. doi: 10.1111/j.1467-9280.2008.02057.x</t>
  </si>
  <si>
    <t>Janiszewski, C; Uy, D</t>
  </si>
  <si>
    <t>Precision of the anchor influences the amount of adjustment</t>
  </si>
  <si>
    <t>10.1111/j.1467-9280.2008.02057.x</t>
  </si>
  <si>
    <t>https://doi.org/10.1111/j.1467-9280.2008.02057.x</t>
  </si>
  <si>
    <t>chris.janiszewski@warrington.ufl.edu</t>
  </si>
  <si>
    <t>Jasper, F., &amp; Ortner, T. M. (2014). The tendency to fall for distracting information while making judgments. European Journal of Psychological Assessment. Doi: 10.1027/1015-5759/a000214</t>
  </si>
  <si>
    <t>Jasper, F; Ortner, TM</t>
  </si>
  <si>
    <t>The Tendency to Fall for Distracting Information While Making Judgments Development and Validation of the Objective Heuristic Thinking Test</t>
  </si>
  <si>
    <t>10.1027/1015-5759/a000214</t>
  </si>
  <si>
    <t>https://doi.org/10.1027/1015-5759/a000214</t>
  </si>
  <si>
    <t>fabian.jasper@sbg.ac.at</t>
  </si>
  <si>
    <t>Joel, S., Spielmann, S. S., &amp; MacDonald, G. (2017). Motivated use of numerical anchors for judgments relevant to the self. Personality and Social Psychology Bulletin, 43(7), 972-985. doi; 10.1177/0146167217702613</t>
  </si>
  <si>
    <t>Joel, S; Spielmann, SS; MacDonald, G</t>
  </si>
  <si>
    <t>Motivated Use of Numerical Anchors for Judgments Relevant to the Self</t>
  </si>
  <si>
    <t>10.1177/0146167217702613</t>
  </si>
  <si>
    <t>https://doi.org/10.1177/0146167217702613</t>
  </si>
  <si>
    <t>samantha.joel@psych.utah.edu</t>
  </si>
  <si>
    <t>Jonas, E., Greitemeyer, T., Graupmann, V., Triebel, C., &amp; Frey, D. (2002). Preisschätzungen in Euro vs. nationaler Währung–ein interkultureller Vergleich. Wirtschaftspsychologie, 2002(4), 36-42.</t>
  </si>
  <si>
    <t>Jonas, Eva; Greitemeyer, Tobias; Graupmann, Verena; Triebel, Claas; Frey, Dieter</t>
  </si>
  <si>
    <t>Preisschätzungen in Euro vs. nationaler Währung - Ein interkultureller Vergleich</t>
  </si>
  <si>
    <t>eva.jonas@plus.ac.at</t>
  </si>
  <si>
    <t>Jung, H., &amp; Young, M. J. (2019). Motivated to confront: How experiencing anger affects anchoring bias. Journal of Behavioral Decision Making, 32(4), 493-503. doi: 10.1002/bdm.2126</t>
  </si>
  <si>
    <t>Jung, H; Young, MJ</t>
  </si>
  <si>
    <t>Motivated to confront: How experiencing anger affects anchoring bias</t>
  </si>
  <si>
    <t>10.1002/bdm.2126</t>
  </si>
  <si>
    <t>https://doi.org/10.1002/bdm.2126</t>
  </si>
  <si>
    <t>OSF | Anger and anchoring bias</t>
  </si>
  <si>
    <t>69_Daten von Jung, Young</t>
  </si>
  <si>
    <t>Jung, H., &amp; Young, M. J. (2012). The de‐biasing effect of incidental anger on other‐provided anchors. Journal of Behavioral Decision Making, 25(5), 435-442. doi: 10.1002/bdm.739</t>
  </si>
  <si>
    <t>Jung, HJ; Young, MJ</t>
  </si>
  <si>
    <t>The De-biasing Effect of Incidental Anger on Other-provided Anchors</t>
  </si>
  <si>
    <t>10.1002/bdm.739</t>
  </si>
  <si>
    <t>https://doi.org/10.1002/bdm.739</t>
  </si>
  <si>
    <t>hjung@anderson.ucla.edu</t>
  </si>
  <si>
    <t>Kassam, K. S., Koslov, K., &amp; Mendes, W. B. (2009). Decisions under distress: Stress profiles influence anchoring and adjustment. Psychological science, 20(11), 1394-1399. doi: 10.1111/j.1467-9280.2009.02455.x</t>
  </si>
  <si>
    <t>Kassam, KS; Koslov, K; Mendes, WB</t>
  </si>
  <si>
    <t>Decisions Under Distress: Stress Profiles Influence Anchoring and Adjustment</t>
  </si>
  <si>
    <t>10.1111/j.1467-9280.2009.02455.x</t>
  </si>
  <si>
    <t>https://doi.org/10.1111/j.1467-9280.2009.02455.x</t>
  </si>
  <si>
    <t>wendy.mendes@ucsf.edu</t>
  </si>
  <si>
    <t>Kimbrough, C. D., &amp; Devenport, J. L. (2018). Reducing the effects of unintended anchors in civil trials: Do concrete low-end award limits and deliberation make a difference?. American Journal of Forensic Psychology.</t>
  </si>
  <si>
    <t>Kimbrough, Christopher D.; Devenport, Jennifer L.</t>
  </si>
  <si>
    <t>Reducing the effects of unintended anchors in civil trials: Do concrete low-end award limits and deliberation make a difference?</t>
  </si>
  <si>
    <t>christopher.kimbrough@huskers.unl.edu</t>
  </si>
  <si>
    <t>Klusmann, B., &amp; Wessel, I. (2019). Manipulating the reported age in earliest memories in a Dutch community sample. PloS one, 14(5), e0217436. doi: https://doi.org/10.31234/osf.io/u526q</t>
  </si>
  <si>
    <t>Klusmann, B., &amp; Wessel, I</t>
  </si>
  <si>
    <t>Manipulating the reported age in earliest memories in a Dutch community sample</t>
  </si>
  <si>
    <t>https://doi.org/10.31234/osf.io/u526q</t>
  </si>
  <si>
    <t>OSF | Manipulating the reported age in earliest memories in a Dutch community sample</t>
  </si>
  <si>
    <t>73_Daten von Klusmann, Wessel</t>
  </si>
  <si>
    <t>Lalot, F., Quiamzade, A., &amp; Falomir‐Pichastor, J. M. (2019). How many migrants are people willing to welcome into their country? The effect of numerical anchoring on migrants’ acceptance. Journal of Applied Social Psychology, 49(6), 361-371. doi: 10.1111/jasp.12588</t>
  </si>
  <si>
    <t>Lalot, F; Quiamzade, A; Falomir-Pichastor, JM</t>
  </si>
  <si>
    <t>How many migrants are people willing to welcome into their country? The effect of numerical anchoring on migrants' acceptance</t>
  </si>
  <si>
    <t>10.1111/jasp.12588</t>
  </si>
  <si>
    <t>https://doi.org/10.1111/jasp.12588</t>
  </si>
  <si>
    <t>f.lalot@kent.ac.uk</t>
  </si>
  <si>
    <t>Lammers, J., &amp; Burgmer, P. (2017). Power increases anchoring effects on judgment. Social cognition, 35(1), 40-53. doi: 10.1521/soco.2017.35.1.40</t>
  </si>
  <si>
    <t>Lammers, J; Burgmer, P</t>
  </si>
  <si>
    <t>POWER INCREASES ANCHORING EFFECTS ON JUDGMENT</t>
  </si>
  <si>
    <t>10.1521/soco.2017.35.1.40</t>
  </si>
  <si>
    <t>https://doi.org/10.1521/soco.2017.35.1.40</t>
  </si>
  <si>
    <t>OSF | Power Anchoring</t>
  </si>
  <si>
    <t>76_Daten von Lammers, Burgmer</t>
  </si>
  <si>
    <t>joris.lammers@uni-koeln.de</t>
  </si>
  <si>
    <t>"unreported" studies 5 - 10 are not available (data has z-scored estimates, only)</t>
  </si>
  <si>
    <t>Langeborg, L., &amp; Eriksson, M. (2016). Anchoring in numeric judgments of visual stimuli. Frontiers in Psychology, 7, 225. doi: 10.3389/fpsyg.2016.00225</t>
  </si>
  <si>
    <t>Langeborg, L; Eriksson, M</t>
  </si>
  <si>
    <t>Anchoring in Numeric Judgments of Visual Stimuli</t>
  </si>
  <si>
    <t>10.3389/fpsyg.2016.00225</t>
  </si>
  <si>
    <t>https://doi.org/10.3389/fpsyg.2016.00225</t>
  </si>
  <si>
    <t>linda.langeborg@hig.se</t>
  </si>
  <si>
    <t>LeBoeuf, R. A., &amp; Shafir, E. (2006). The long and short of it: Physical anchoring effects. Journal of Behavioral Decision Making, 19(4), 393-406. doi: 10.1002/bdm.535</t>
  </si>
  <si>
    <t>LeBoeuf, RA; Shafir, E</t>
  </si>
  <si>
    <t>The long and short of it: Physical anchoring effects</t>
  </si>
  <si>
    <t>10.1002/bdm.535</t>
  </si>
  <si>
    <t>https://doi.org/10.1002/bdm.535</t>
  </si>
  <si>
    <t>LeBoeuf@wustl.edu</t>
  </si>
  <si>
    <t>Leusch, Y. M., Loschelder, D. D., &amp; Basso, F. (2018). Precious property or magnificent money? How money salience but not temperature priming affects first-offer anchors in economic transactions. Frontiers in Psychology, 9, 1099. doi: 10.3389/fpsyg.2018.01099</t>
  </si>
  <si>
    <t>Leusch, YM; Loschelder, DD; Basso, F</t>
  </si>
  <si>
    <t>Precious Property or Magnificent Money? How Money Salience but Not Temperature Priming Affects First-Offer Anchors in Economic Transactions</t>
  </si>
  <si>
    <t>10.3389/fpsyg.2018.01099</t>
  </si>
  <si>
    <t>https://doi.org/10.3389/fpsyg.2018.01099</t>
  </si>
  <si>
    <t xml:space="preserve">osf.io/8rbvz/ </t>
  </si>
  <si>
    <t>Yannik.Leusch@kienbaum.de</t>
  </si>
  <si>
    <t xml:space="preserve">Data can't be opened </t>
  </si>
  <si>
    <t>Lewis, J., Gaertig, C., &amp; Simmons, J. P. (2019). Extremeness aversion is a cause of anchoring. Psychological science, 30(2), 159-173. doi: 10.1177/0956797618799305</t>
  </si>
  <si>
    <t>Lewis, J; Gaertig, C; Simmons, JP</t>
  </si>
  <si>
    <t>Extremeness Aversion Is a Cause of Anchoring</t>
  </si>
  <si>
    <t>10.1177/0956797618799305</t>
  </si>
  <si>
    <t>https://doi.org/10.1177/0956797618799305</t>
  </si>
  <si>
    <t>OSF | Extremeness Aversion Is a Cause of Anchoring Files</t>
  </si>
  <si>
    <t>80_Daten von Lewis, Gaertig, Simmons</t>
  </si>
  <si>
    <t>only 2 studies eligible (S1 andd S3) due to constant anchors for the others</t>
  </si>
  <si>
    <t>Lieder, F., Griffiths, T. L., M Huys, Q. J., &amp; Goodman, N. D. (2018). Empirical evidence for resource-rational anchoring and adjustment. Psychonomic Bulletin &amp; Review, 25(2), 775-784. doi: 10.3758/s13423-017-1288-6</t>
  </si>
  <si>
    <t>Lieder, F., Griffiths, T., Huys, Q. J., &amp; Goodman, N. D.</t>
  </si>
  <si>
    <t>Empirical evidence for resource-rational anchoring and adjustment</t>
  </si>
  <si>
    <t>10.3758/s13423-017-1288-6</t>
  </si>
  <si>
    <t>https://doi.org/10.3758/s13423-017-1288-6</t>
  </si>
  <si>
    <t>falk.lieder@tuebingen.mpg.de</t>
  </si>
  <si>
    <t>Lorko, M., Servátka, M., &amp; Zhang, L. (2019). Anchoring in project duration estimation. Journal of Economic Behavior &amp; Organization, 162, 49-65. doi: 10.1016/j.jebo.2019.04.014</t>
  </si>
  <si>
    <t>Lorko, Matej; Servátka, Maroš; Zhang, Le</t>
  </si>
  <si>
    <t>Anchoring in project duration estimation.</t>
  </si>
  <si>
    <t>10.1016/j.jebo.2019.04.014</t>
  </si>
  <si>
    <t>matej@lorko.sk</t>
  </si>
  <si>
    <t>Loschelder, D. D., Friese, M., Schaerer, M., &amp; Galinsky, A. D. (2016). The too-much-precision effect: When and why precise anchors backfire with experts. Psychological science, 27(12), 1573-1587. doi: 10.1177/0956797616666074</t>
  </si>
  <si>
    <t>Loschelder, DD; Friese, M; Schaerer, M; Galinsky, AD</t>
  </si>
  <si>
    <t>The Too-Much-Precision Effect: When and Why Precise Anchors Backfire With Experts</t>
  </si>
  <si>
    <t>10.1177/0956797616666074</t>
  </si>
  <si>
    <t>https://doi.org/10.1177/0956797616666074</t>
  </si>
  <si>
    <t>OSF | Data</t>
  </si>
  <si>
    <t>84_Daten von Loschelder, Friese, Schaerer, Galinsky</t>
  </si>
  <si>
    <t>Loschelder, D. D., Stuppi, J., &amp; Trötschel, R. (2014). “€ 14,875?!”: Precision boosts the anchoring potency of first offers. Social Psychological and Personality Science, 5(4), 491-499. doi: 10.1177/1948550613499942</t>
  </si>
  <si>
    <t>Loschelder, DD; Stuppi, J; Trotschel, R</t>
  </si>
  <si>
    <t>(sic) 14,875?!'': Precision Boosts the Anchoring Potency of First Offers</t>
  </si>
  <si>
    <t>10.1177/1948550613499942</t>
  </si>
  <si>
    <t>https://doi.org/10.1177/1948550613499942</t>
  </si>
  <si>
    <t>david.loschelder@leuphana.de</t>
  </si>
  <si>
    <t>Luccasen, R. A. (2012). Anchoring effects and participant numbers: Evidence from a public good game. Social Science Quarterly, 93(3), 858-865. doi: 10.1111/j.1540-6237.2012.00866.x</t>
  </si>
  <si>
    <t>Luccasen, R. Andrew</t>
  </si>
  <si>
    <t>Anchoring effects and participant numbers: Evidence from a public good game.</t>
  </si>
  <si>
    <t>10.1111/j.1540-6237.2012.00866.x</t>
  </si>
  <si>
    <t>https://doi.org/10.1111/j.1540-6237.2012.00866.x</t>
  </si>
  <si>
    <t>andrew.luccasen@gmail.com</t>
  </si>
  <si>
    <t>Malhotra, S., Morgan, H. M., &amp; Zhu, P. (2018). Sticky decisions: Anchoring and equity stakes in international acquisitions. Journal of Management, 44(8), 3200-3230. doi: 10.1177/0149206316664008</t>
  </si>
  <si>
    <t>Malhotra, S; Morgan, HM; Zhu, PC</t>
  </si>
  <si>
    <t>Sticky Decisions: Anchoring and Equity Stakes in International Acquisitions</t>
  </si>
  <si>
    <t>10.1177/0149206316664008</t>
  </si>
  <si>
    <t>https://doi.org/10.1177/0149206316664008</t>
  </si>
  <si>
    <t>shavin.malhotra@uwaterloo.ca</t>
  </si>
  <si>
    <t>Martínez-Tur, V., González, P., Juan, A., Molina, A., &amp; Peñarroja, V. (2018). Bad news and quality reputation among users of public services. Revista de Psicología del Trabajo y de las Organizaciones, 34(2), 95-101. doi: 10.5093/jwop2018a12</t>
  </si>
  <si>
    <t>Martinez-Tur, V; Gonzalez, P; Juan, A; Molina, A; Penarroja, V</t>
  </si>
  <si>
    <t>Bad News and Quality Reputation among Users of Public Services</t>
  </si>
  <si>
    <t>10.5093/jwop2018a12</t>
  </si>
  <si>
    <t>https://doi.org/10.5093/jwop2018a12</t>
  </si>
  <si>
    <t>vicente.martinez-tur@uv.es</t>
  </si>
  <si>
    <t>McAuliff, B. D., &amp; Bornstein, B. H. (2010). All anchors are not created equal: The effects of per diem versus lump sum requests on pain and suffering awards. Law and Human Behavior, 34(2), 164-174. doi: 10.1007/s10979-009-9178-8</t>
  </si>
  <si>
    <t>McAuliff, BD; Bornstein, BH</t>
  </si>
  <si>
    <t>All Anchors Are Not Created Equal: The Effects of Per Diem versus Lump Sum Requests on Pain and Suffering Awards</t>
  </si>
  <si>
    <t>10.1007/s10979-009-9178-8</t>
  </si>
  <si>
    <t>https://doi.org/10.1007/s10979-009-9178-8</t>
  </si>
  <si>
    <t>bradley.mcauliff@csun.edu</t>
  </si>
  <si>
    <t>McElroy, T., &amp; Dowd, K. (2007). Susceptibility to anchoring effects: How openness-to-experience influences responses to anchoring cues. Judgment and Decision making, 2(1), 48.</t>
  </si>
  <si>
    <t>McElroy, T; Dowd, K</t>
  </si>
  <si>
    <t>Susceptibility to anchoring effects: How openness-to-experience influences responses to anchoring cues</t>
  </si>
  <si>
    <t>Contact Dr. Todd McElroy – Todd McElroy, Ph.D. (drtoddmcelroyswebsite.com)</t>
  </si>
  <si>
    <t>McElroy, T., &amp; Stroh, N. (2013). Making estimates and sensitivity to anchors: Exploring the role of hemispheric processing. Laterality: Asymmetries of Body, Brain and Cognition, 18(3), 294-302. doi: 10.1080/1357650X.2012.664144</t>
  </si>
  <si>
    <t>McElroy, T; Stroh, N</t>
  </si>
  <si>
    <t>Making estimates and sensitivity to anchors: Exploring the role of hemispheric processing</t>
  </si>
  <si>
    <t>10.1080/1357650X.2012.664144</t>
  </si>
  <si>
    <t>https://doi.org/10.1080/1357650X.2012.664144</t>
  </si>
  <si>
    <t>Minami, M. (1998). A test of models for intuitive probability judgment process producing the base-rate neglect: Using numerical and verbal expressions for probability. Japanese Journal of Psychology, 69, 384-392. doi: 10.4992/jjpsy.69.384</t>
  </si>
  <si>
    <t>Minami, M</t>
  </si>
  <si>
    <t>A test of models for intuitive probability judgment process producing the base-rate neglect: Using numerical and verbal expressions for probability</t>
  </si>
  <si>
    <t>10.4992/jjpsy.69.384</t>
  </si>
  <si>
    <t>https://doi.org/10.4992/jjpsy.69.384</t>
  </si>
  <si>
    <t>Mochon, D., &amp; Frederick, S. (2013). Anchoring in sequential judgments. Organizational Behavior and Human Decision Processes, 122(1), 69-79. doi: 10.1016/j.obhdp.2013.04.002</t>
  </si>
  <si>
    <t>Mochon, D; Frederick, S</t>
  </si>
  <si>
    <t xml:space="preserve">Anchoring in sequential judgments </t>
  </si>
  <si>
    <t>10.1016/j.obhdp.2013.04.002</t>
  </si>
  <si>
    <t>https://doi.org/10.1016/j.obhdp.2013.04.002</t>
  </si>
  <si>
    <t>dmochon@tulane.edu</t>
  </si>
  <si>
    <t>Morrow, J. (2002). Demonstrating the anchoring-adjustment heuristic and the power of the situation. Teaching of Psychology, 29(2), 129-132. doi: 10.1207/S15328023TOP2902_11</t>
  </si>
  <si>
    <t>Morrow, J</t>
  </si>
  <si>
    <t>Demonstrating the anchoring-adjustment heuristic and the power of the situation</t>
  </si>
  <si>
    <t>10.1207/S15328023TOP2902_11</t>
  </si>
  <si>
    <t>https://doi.org/10.1207/S15328023TOP2902_11</t>
  </si>
  <si>
    <t>jamorrow@vassar.edu</t>
  </si>
  <si>
    <t>Mussweiler, T. (2002). The malleability of anchoring effects. Experimental psychology, 49(1), 67. doi: 10.1027//1618-3169.49.1.67</t>
  </si>
  <si>
    <t>Mussweiler, T</t>
  </si>
  <si>
    <t>The malleability of anchoring effects</t>
  </si>
  <si>
    <t>10.1027//1618-3169.49.1.67</t>
  </si>
  <si>
    <t>https://doi.org/10.1027//1618-3169.49.1.67</t>
  </si>
  <si>
    <t>Mussweiler, T. (2001). The durability of anchoring effects. European Journal of Social Psychology, 31(4), 431-442. doi: 10.1002/ejsp.52</t>
  </si>
  <si>
    <t>The durability of anchoring effects</t>
  </si>
  <si>
    <t>10.1002/ejsp.52</t>
  </si>
  <si>
    <t>https://doi.org/10.1002/ejsp.52</t>
  </si>
  <si>
    <t>Mussweiler, T., &amp; Englich, B. (2003). Adapting to the Euro: Evidence from bias reduction. Journal of Economic Psychology, 24(3), 285-292. doi: 10.1016/S0167-4870(03)00015-1</t>
  </si>
  <si>
    <t>Mussweiler, T; Englich, B</t>
  </si>
  <si>
    <t>Adapting to the Euro: Evidence from bias reduction</t>
  </si>
  <si>
    <t>10.1016/S0167-4870(03)00015-1</t>
  </si>
  <si>
    <t>https://doi.org/10.1016/S0167-4870(03)00015-1</t>
  </si>
  <si>
    <t>Mussweiler, T., &amp; Englich, B. (2005). Subliminal anchoring: Judgmental consequences and underlying mechanisms. Organizational Behavior and Human Decision Processes, 98(2), 133-143. doi: 10.1016/j.obhdp.2004.12.002</t>
  </si>
  <si>
    <t>Subliminal anchoring: Judgmental consequences and underlying mechanisms</t>
  </si>
  <si>
    <t>10.1016/j.obhdp.2004.12.002</t>
  </si>
  <si>
    <t>https://doi.org/10.1016/j.obhdp.2004.12.002</t>
  </si>
  <si>
    <t xml:space="preserve">Mussweiler, T., Forster, J., &amp; Strack, F. (1997). Anchoring effects and the applicability of anchor-consistent information: A selective accessibility model. Zeitschrift fur Experimentelle Psychologie, 44(4), 589-615. </t>
  </si>
  <si>
    <t>Mussweiler, T; Forster, J; Strack, F</t>
  </si>
  <si>
    <t>Anchoring effects and the applicability of anchor-consistent information: A selective accessibility model</t>
  </si>
  <si>
    <t>Mussweiler, T., &amp; Strack, F. (2001). The semantics of anchoring. Organizational behavior and human decision processes, 86(2), 234-255. doi: https://doi.org/10.1006/obhd.2001.2954</t>
  </si>
  <si>
    <t>Mussweiler, T; Strack, F</t>
  </si>
  <si>
    <t>The semantics of anchoring</t>
  </si>
  <si>
    <t>10.1006/obhd.2001.2954</t>
  </si>
  <si>
    <t>https://doi.org/10.1006/obhd.2001.2954</t>
  </si>
  <si>
    <t>Mussweiler, T., &amp; Strack, F. (2001). Considering the impossible: Explaining the effects of implausible anchors. Social Cognition, 19(2), 145-160. doi: 10.1521/soco.19.2.145.20705</t>
  </si>
  <si>
    <t>Considering the impossible: Explaining the effects of implausible anchors</t>
  </si>
  <si>
    <t>10.1521/soco.19.2.145.20705</t>
  </si>
  <si>
    <t>https://doi.org/10.1521/soco.19.2.145.20705</t>
  </si>
  <si>
    <t>Mussweiler, T., &amp; Strack, F. (2000). Numeric judgments under uncertainty: The role of knowledge in anchoring. Journal of experimental social psychology, 36(5), 495-518. doi: 10.1006/jesp.1999.1414</t>
  </si>
  <si>
    <t>Numeric judgments under uncertainty: The role of knowledge in anchoring</t>
  </si>
  <si>
    <t>10.1006/jesp.1999.1414</t>
  </si>
  <si>
    <t>https://doi.org/10.1006/jesp.1999.1414</t>
  </si>
  <si>
    <t>Mussweiler, T., &amp; Strack, F. (2000). The use of category and exemplar knowledge in the solution of anchoring tasks. Journal of personality and social psychology, 78(6), 1038. doi: 10.1037//0022-3514.78.6.1038</t>
  </si>
  <si>
    <t>The use of category and exemplar knowledge in the solution of anchoring tasks</t>
  </si>
  <si>
    <t>10.1037//0022-3514.78.6.1038</t>
  </si>
  <si>
    <t>https://doi.org/10.1037//0022-3514.78.6.1038</t>
  </si>
  <si>
    <t>Mussweiler, T., &amp; Strack, F. (1999). Hypothesis-consistent testing and semantic priming in the anchoring paradigm: A selective accessibility model. Journal of Experimental Social Psychology, 35(2), 136-164. doi: 10.1006/jesp.1998.1364</t>
  </si>
  <si>
    <t>Hypothesis-consistent testing and semantic priming in the anchoring paradigm: A selective accessibility model</t>
  </si>
  <si>
    <t>10.1006/jesp.1998.1364</t>
  </si>
  <si>
    <t>https://doi.org/10.1006/jesp.1998.1364</t>
  </si>
  <si>
    <t>Mussweiler, T., Strack, F., &amp; Pfeiffer, T. (2000). Overcoming the inevitable anchoring effect: Considering the opposite compensates for selective accessibility. Personality and Social Psychology Bulletin, 26(9), 1142-1150. doi: 10.1177/01461672002611010</t>
  </si>
  <si>
    <t>Mussweiler, T; Strack, F; Pfeiffer, T</t>
  </si>
  <si>
    <t>Overcoming the inevitable anchoring effect: Considering the opposite compensates for selective accessibility</t>
  </si>
  <si>
    <t>10.1177/01461672002611010</t>
  </si>
  <si>
    <t>https://doi.org/10.1177/01461672002611010</t>
  </si>
  <si>
    <t>Oh, S. (2020). How future work self affects self-efficacy mechanisms in novel task performance: Applying the anchoring heuristic under uncertainty. Personality and Individual Differences, 167, 110166. doi: 10.1016/j.paid.2020.110166</t>
  </si>
  <si>
    <t>Oh, S</t>
  </si>
  <si>
    <t>How future work self affects self-efficacy mechanisms in novel task performance: Applying the anchoring heuristic under uncertainty</t>
  </si>
  <si>
    <t>10.1016/j.paid.2020.110166</t>
  </si>
  <si>
    <t>https://doi.org/10.1016/j.paid.2020.110166</t>
  </si>
  <si>
    <t>sunyoungoh@kyonggi.ac.kr</t>
  </si>
  <si>
    <t>Onuki, Y., Honda, H., &amp; Ueda, K. (2021). What Stimuli Are Necessary for Anchoring Effects to Occur?. Frontiers in psychology, 12. doi: 10.3389%2Ffpsyg.2021.602372</t>
  </si>
  <si>
    <t>Onuki, Y., Honda, H., &amp; Ueda, K.</t>
  </si>
  <si>
    <t>What Stimuli Are Necessary for Anchoring Effects to Occur?</t>
  </si>
  <si>
    <t>10.3389%2Ffpsyg.2021.602372</t>
  </si>
  <si>
    <t>https://doi.org/10.3389%2Ffpsyg.2021.602372</t>
  </si>
  <si>
    <t>OSF | What stimuli are necessary for anchoring effects to occur?</t>
  </si>
  <si>
    <t>109_Daten von Onuki, Honda, Ueda</t>
  </si>
  <si>
    <t>studies 2a, 2b, and the supplementary study are not included</t>
  </si>
  <si>
    <t>Oppenheimer, D. M., LeBoeuf, R. A., &amp; Brewer, N. T. (2008). Anchors aweigh: A demonstration of cross-modality anchoring and magnitude priming. Cognition, 106(1), 13-26. doi: 10.1016/j.cognition.2006.12.008</t>
  </si>
  <si>
    <t>Oppenheimer, DA; Leboeuf, RA; Brewer, NT</t>
  </si>
  <si>
    <t>Anchors aweigh: A demonstration of cross-modality anchoring and magnitude priming</t>
  </si>
  <si>
    <t>10.1016/j.cognition.2006.12.008</t>
  </si>
  <si>
    <t>https://doi.org/10.1016/j.cognition.2006.12.008</t>
  </si>
  <si>
    <t>doppenh1@andrew.cmu.edu</t>
  </si>
  <si>
    <t>Plous, S. (1989). Thinking the unthinkable: The effects of anchoring on likelihood estimates of nuclear war 1. Journal of Applied Social Psychology, 19(1), 67-91. doi: 10.1111/j.1559-1816.1989.tb01221.x</t>
  </si>
  <si>
    <t>PLOUS, S</t>
  </si>
  <si>
    <t>THINKING THE UNTHINKABLE - THE EFFECTS OF ANCHORING ON LIKELIHOOD ESTIMATES OF NUCLEAR-WAR</t>
  </si>
  <si>
    <t>10.1111/j.1559-1816.1989.tb01221.x</t>
  </si>
  <si>
    <t>https://doi.org/10.1111/j.1559-1816.1989.tb01221.x</t>
  </si>
  <si>
    <t>splous@wesleyan.edu</t>
  </si>
  <si>
    <t>Pohl, R. F. (2000). Suggestibility and anchoring. Suggestion and suggestibility: Advances in theory and research, 137-151.</t>
  </si>
  <si>
    <t>Pohl, Rüdiger F.</t>
  </si>
  <si>
    <t>Suggestibility and anchoring</t>
  </si>
  <si>
    <t>ruediger.pohl@online.de</t>
  </si>
  <si>
    <t>Rader, C. A., Soll, J. B., &amp; Larrick, R. P. (2015). Pushing away from representative advice: Advice taking, anchoring, and adjustment. Organizational Behavior and Human Decision Processes, 130, 26-43. doi: 10.1016/j.obhdp.2015.05.004</t>
  </si>
  <si>
    <t>Rader, CA; Soil, JB; Larrick, RP</t>
  </si>
  <si>
    <t>Pushing away from representative advice: Advice taking, anchoring, and adjustment</t>
  </si>
  <si>
    <t>10.1016/j.obhdp.2015.05.004</t>
  </si>
  <si>
    <t>https://doi.org/10.1016/j.obhdp.2015.05.004</t>
  </si>
  <si>
    <t>crader@coloradocollege.edu</t>
  </si>
  <si>
    <t>Reitsma-van Rooijen, M., &amp; Daamen, D. D. (2006). Subliminal anchoring: The effects of subliminally presented numbers on probability estimates. Journal of Experimental Social Psychology, 42(3), 380-387. doi: 10.1016/j.jesp.2005.05.001</t>
  </si>
  <si>
    <t>Reitsma-van Rooijen, M; Daamen, DDL</t>
  </si>
  <si>
    <t>Subliminal anchoring: The effects of subliminally presented numbers on probability estimates</t>
  </si>
  <si>
    <t>10.1016/j.jesp.2005.05.001</t>
  </si>
  <si>
    <t>https://doi.org/10.1016/j.jesp.2005.05.001</t>
  </si>
  <si>
    <t>pm.reitsma@psy.vu.nl</t>
  </si>
  <si>
    <t>Reutskaja, E., Iyamabo, J., Raghubir, P., &amp; Gallo, I. (2020). Price-Denomination Effect: Choosing to Pay With Denominations That Are the Same as the Product Prices. Frontiers in psychology, 2306. doi: 10.3389/fpsyg.2020.552888</t>
  </si>
  <si>
    <t>Reutskaja, E; Iyamabo, J; Raghubir, P; Gallo, I</t>
  </si>
  <si>
    <t>Price-Denomination Effect: Choosing to Pay With Denominations That Are the Same as the Product Prices</t>
  </si>
  <si>
    <t>10.3389/fpsyg.2020.552888</t>
  </si>
  <si>
    <t>https://doi.org/10.3389/fpsyg.2020.552888</t>
  </si>
  <si>
    <t>OSF | Price-Denomination Effect: Choosing to Pay with Denominations that are the Same as the Product Prices</t>
  </si>
  <si>
    <t>116_Daten von Reutskaja, Iyamabo, Raghubir, Gallo</t>
  </si>
  <si>
    <t>no numeric estimates but reaction times or choices</t>
  </si>
  <si>
    <t>Robbennolt, J. K., &amp; Studebaker, C. A. (1999). Anchoring in the courtroom: The effects of caps on punitive damages. Law and Human Behavior, 23(3), 353-373. doi: 10.1023/A:1022312716354</t>
  </si>
  <si>
    <t>Robbennolt, JK; Studebaker, CA</t>
  </si>
  <si>
    <t>Anchoring in the courtroom: The effects of caps on punitive damages</t>
  </si>
  <si>
    <t>10.1023/A:1022312716354</t>
  </si>
  <si>
    <t>https://doi.org/10.1023/A:1022312716354</t>
  </si>
  <si>
    <t>jrobbenn@illinois.edu</t>
  </si>
  <si>
    <t>Rohmann, F. (2017). Ankereffekte in komplexen Urteilssituationen: die Glaubwürdigkeit der Quelle als Determinante für Assimilation und Kontrast (Doctoral dissertation, Tübingen).</t>
  </si>
  <si>
    <t>Rohmann, Florian</t>
  </si>
  <si>
    <t>Ankereffekte in komplexen Urteilssituationen: Die Glaubwürdigkeit der Quelle als Determinante für Assimilation und Kontrast</t>
  </si>
  <si>
    <t>florian.rohmann@uni-tuebingen.de</t>
  </si>
  <si>
    <t>Röseler, L., Schütz, A., &amp; Starker, U. (2019). Cognitive Ability does not and cannot Correlate with Susceptibility to Anchoring Effects. Doi: https://doi.org/10.31234/osf.io/bnsx2</t>
  </si>
  <si>
    <t>Röseler, L., Schütz, A., &amp; Starker, U.</t>
  </si>
  <si>
    <t>Cognitive Ability does not and cannot Correlate with Susceptibility to Anchoring Effects</t>
  </si>
  <si>
    <t>https://doi.org/10.31234/osf.io/bnsx2</t>
  </si>
  <si>
    <t>https://osf.io/ft7uz/</t>
  </si>
  <si>
    <t>Röseler, L., Schütz, A., Dolling, I. K., Friedinger, K., Hösch, Y., Hügel, J. C., ... &amp; Röseler, J. J. (2020). The Stepwise Anchoring Paradigm: Measuring Reliable Components of Anchoring and Adjustment as the Next Step in Moderator Research. Doi: https://doi.org/10.31234/osf.io/hjbwp</t>
  </si>
  <si>
    <t>Röseler, L., Schütz, A., Dolling, I. K., Friedinger, K., Hösch, Y., Hügel, J. C., … Röseler, J. J.</t>
  </si>
  <si>
    <t>The Stepwise Anchoring Paradigm: Measuring Reliable Components of Anchoring and Adjustment as the Next Step in Moderator Research</t>
  </si>
  <si>
    <t>https://doi.org/10.31234/osf.io/hjbwp</t>
  </si>
  <si>
    <t>https://osf.io/nr5gx/</t>
  </si>
  <si>
    <t>https://osf.io/7e9tc/</t>
  </si>
  <si>
    <t>error detected and corrected</t>
  </si>
  <si>
    <t>Röseler, L., Schütz, A., Baumeister, R. F., &amp; Starker, U. (2020). Does ego depletion reduce judgment adjustment for both internally and externally generated anchors?. Journal of Experimental Social Psychology, 87, 103942. doi: 10.1016/j.jesp.2019.103942</t>
  </si>
  <si>
    <t>Roseler, L; Schutz, A; Baumeister, RF; Starker, U</t>
  </si>
  <si>
    <t>Does ego depletion reduce judgment adjustment for both internally and externally generated anchors?</t>
  </si>
  <si>
    <t>10.1016/j.jesp.2019.103942</t>
  </si>
  <si>
    <t>https://doi.org/10.1016/j.jesp.2019.103942</t>
  </si>
  <si>
    <t>?</t>
  </si>
  <si>
    <t>Röseler, L., Schütz, A., Blank, P. A., Dück, M., Fels, S., Kupfer, J., ... &amp; Seida, C. (2021). Evidence against subliminal anchoring: Two close, highly powered, preregistered, and failed replication attempts. Journal of Experimental Social Psychology, 92, 104066. doi: 10.1016/j.jesp.2020.104066</t>
  </si>
  <si>
    <t>Roseler, L; Schutz, A; Blank, PA; Duck, M; Fels, S; Kupfer, J; Scheelje, L; Seida, C</t>
  </si>
  <si>
    <t>Evidence against subliminal anchoring: Two close, highly powered, preregistered, and failed replication attempts</t>
  </si>
  <si>
    <t>10.1016/j.jesp.2020.104066</t>
  </si>
  <si>
    <t>https://doi.org/10.1016/j.jesp.2020.104066</t>
  </si>
  <si>
    <t> https://osf.io/96de2/</t>
  </si>
  <si>
    <t>Rotter, G. S., &amp; Tinkleman, V. (1970). Anchor effects in the development of behavior rating scales. Educational and Psychological Measurement, 30(2), 311-318. doi: https://doi.org/10.1177/001316447003000211</t>
  </si>
  <si>
    <t>Rotter, George S.; Tinkleman, Vera</t>
  </si>
  <si>
    <t>Anchor effects in the development of behavior rating scales.</t>
  </si>
  <si>
    <t>https://doi.org/10.1177/001316447003000211</t>
  </si>
  <si>
    <t>Roy, M. M., Burns, T., &amp; Radzevick, J. R. (2019). Unpacking, summing and anchoring in retrospective time estimation. Acta Psychologica, 192, 153-162. doi: 10.1016/j.actpsy.2018.11.012</t>
  </si>
  <si>
    <t>Roy, MM; Burns, T; Radzevick, JR</t>
  </si>
  <si>
    <t>Unpacking, summing and anchoring in retrospective time estimation</t>
  </si>
  <si>
    <t>10.1016/j.actpsy.2018.11.012</t>
  </si>
  <si>
    <t>https://doi.org/10.1016/j.actpsy.2018.11.012</t>
  </si>
  <si>
    <t>roym@etown.edu</t>
  </si>
  <si>
    <t>Sailors, J. J., &amp; Heyman, J. E. (2019). Similarity, multiple estimations, and the anchoring effect. The Journal of general psychology, 146(2), 200-215. doi: 10.1080/00221309.2018.1551775</t>
  </si>
  <si>
    <t>Sailors, JJ; Heyman, JE</t>
  </si>
  <si>
    <t>Similarity, multiple estimations, and the anchoring effect</t>
  </si>
  <si>
    <t>10.1080/00221309.2018.1551775</t>
  </si>
  <si>
    <t>https://doi.org/10.1080/00221309.2018.1551775</t>
  </si>
  <si>
    <t>JJSAILORS@stthomas.edu</t>
  </si>
  <si>
    <t>Sailors, J. J., &amp; Heyman, J. E. (2011). Compound anchors and their subsequent effects on judgments. American Behavioral Scientist, 55(8), 1035-1051. doi: 10.1177/0002764211409381</t>
  </si>
  <si>
    <t>Sailors, John J.; Heyman, James E.</t>
  </si>
  <si>
    <t>Compound anchors and their subsequent effects on judgments.</t>
  </si>
  <si>
    <t>10.1177/0002764211409381</t>
  </si>
  <si>
    <t>https://doi.org/10.1177/0002764211409381</t>
  </si>
  <si>
    <t>Sawyer, T. F., &amp; Wesensten, N. J. (1994). Anchoring effects on judgement, estimation, and discrimination of numerosity. Perceptual and motor skills, 78(1), 91-98. doi: 10.2466/pms.1994.78.1.91</t>
  </si>
  <si>
    <t>SAWYER, TF; WESENSTEN, NJ</t>
  </si>
  <si>
    <t>ANCHORING EFFECTS ON JUDGMENT, ESTIMATION, AND DISCRIMINATION OF NUMEROSITY</t>
  </si>
  <si>
    <t>10.2466/pms.1994.78.1.91</t>
  </si>
  <si>
    <t>https://doi.org/10.2466/pms.1994.78.1.91</t>
  </si>
  <si>
    <t>tfsawyer@noctrl.edu</t>
  </si>
  <si>
    <t>Schindler, S., Querengässer, J., Bruchmann, M., Bögemann, N. J., Moeck, R., &amp; Straube, T. (2021). Bayes Factors show evidence against systematic relationships between the anchoring effect and the Big Five personality traits. Scientific reports, 11(1), 1-8. doi: 10.1038/s41598-021-86429-2</t>
  </si>
  <si>
    <t>Bayes Factors show evidence against systematic relationships between the anchoring effect and the Big Five personality traits.</t>
  </si>
  <si>
    <t>10.1038/s41598-021-86429-2</t>
  </si>
  <si>
    <t>https://doi.org/10.1038/s41598-021-86429-2</t>
  </si>
  <si>
    <t>OSF | Bayes Factors show evidence against systematic relationships between the anchoring effect and the Big Five personality traits</t>
  </si>
  <si>
    <t>128_Daten von Schindler, Querengässer, Bruchmann, Bögemann, Moeck, Straube</t>
  </si>
  <si>
    <t>Schlattmann, U. (2012). Ignorant Experts–Heightened Confidence Undermines the Beneficial Effect of a Forewarning About the Anchoring Effect (Doctoral dissertation, Universität zu Köln).</t>
  </si>
  <si>
    <t>Ignorant experts - Heightened confidence undermines the beneficial effect of a forewarning about the anchoring effect</t>
  </si>
  <si>
    <t>ulrich.schlattmann@mindthegap.org</t>
  </si>
  <si>
    <t>Schweickart, O., Tam, C., &amp; Brown, N. R. (2021). When “bad” is good: How evaluative judgments eliminate the standard anchoring effect. Canadian Journal of Experimental Psychology/Revue canadienne de psychologie expérimentale, 75(1), 56. doi: 10.1037/cep0000209</t>
  </si>
  <si>
    <t>Schweickart, Oliver; Tam, Cory; Brown, Norman R.</t>
  </si>
  <si>
    <t>When 'bad' is good: How evaluative judgments eliminate the standard anchoring effect.</t>
  </si>
  <si>
    <t>10.1037/cep0000209</t>
  </si>
  <si>
    <t>https://doi.org/10.1037/cep0000209</t>
  </si>
  <si>
    <t>oliver.schweickart@utoronto.ca</t>
  </si>
  <si>
    <t>Shan, L., Diao, H., &amp; Wu, L. (2020). Influence of the framing effect, anchoring effect, and knowledge on consumers’ attitude and purchase intention of organic food. Frontiers in Psychology, 2022. doi: 10.3389/fpsyg.2020.02022</t>
  </si>
  <si>
    <t>Shan L; Diao H; Wu L</t>
  </si>
  <si>
    <t>Influence of the Framing Effect, Anchoring Effect, and Knowledge on Consumers' Attitude and Purchase Intention of Organic Food.</t>
  </si>
  <si>
    <t>10.3389/fpsyg.2020.02022</t>
  </si>
  <si>
    <t>https://doi.org/10.3389/fpsyg.2020.02022</t>
  </si>
  <si>
    <t>wlh6799@126.com</t>
  </si>
  <si>
    <t>David R. Shanks, Pietro Barbieri-Hermitte, Miguel A. Vadillo; Do Incidental Environmental Anchors Bias Consumers’ Price Estimations?. Collabra: Psychology 1 January 2020; 6 (1): 19. doi: https://doi.org/10.1525/collabra.310</t>
  </si>
  <si>
    <t>Shanks, DR; Barbieri-Hermitte, P; Vadillo, MA</t>
  </si>
  <si>
    <t>Do Incidental Environmental Anchors Bias Consumers' Price Estimations?</t>
  </si>
  <si>
    <t>10.1525/collabra.310</t>
  </si>
  <si>
    <t>https://doi.org/10.1525/collabra.310</t>
  </si>
  <si>
    <t>OSF | Incidental anchoring</t>
  </si>
  <si>
    <t>134_Daten von Shanks, Barbieri-Hermitte, Vadillo</t>
  </si>
  <si>
    <t>Simmons, J. P., LeBoeuf, R. A., &amp; Nelson, L. D. (2010). The effect of accuracy motivation on anchoring and adjustment: Do people adjust from provided anchors?. Journal of personality and social psychology, 99(6), 917. doi: 10.1037/a0021540</t>
  </si>
  <si>
    <t>Simmons, JP; LeBoeuf, RA; Nelson, LD</t>
  </si>
  <si>
    <t>The Effect of Accuracy Motivation on Anchoring and Adjustment: Do People Adjust From Provided Anchors?</t>
  </si>
  <si>
    <t>10.1037/a0021540</t>
  </si>
  <si>
    <t>https://doi.org/10.1037/a0021540</t>
  </si>
  <si>
    <t>jsimmo@upenn.edu</t>
  </si>
  <si>
    <t>Sleeth-Keppler, D. P. (2004). The effects of anchor-based semantic priming on judgmental anchoring. University of Maryland, College Park.</t>
  </si>
  <si>
    <t>Sleeth-Keppler, David Paul</t>
  </si>
  <si>
    <t>The effects of anchor-based semantic priming on judgmental anchoring.</t>
  </si>
  <si>
    <t>david.sleeth-keppler@humboldt.edu</t>
  </si>
  <si>
    <t>Smith, A. R., &amp; Marshall, L. D. (2017). Confidently biased: comparisons with anchors bias estimates and increase confidence. Journal of Behavioral Decision Making, 30(3), 731-743. doi: 10.1002/bdm.1996</t>
  </si>
  <si>
    <t>Smith, AR; Marshall, LD</t>
  </si>
  <si>
    <t>Confidently Biased: Comparisons with Anchors Bias Estimates and Increase Confidence</t>
  </si>
  <si>
    <t>10.1002/bdm.1996</t>
  </si>
  <si>
    <t>https://doi.org/10.1002/bdm.1996</t>
  </si>
  <si>
    <t>1?</t>
  </si>
  <si>
    <t>https://onlinelibrary.wiley.com/doi/full/10.1002/bdm.1996</t>
  </si>
  <si>
    <t>smithar3@appstate.edu</t>
  </si>
  <si>
    <t>Numerical anchors can be seen in apendix</t>
  </si>
  <si>
    <t>Smith, A. R., &amp; Windschitl, P. D. (2015). Resisting anchoring effects: The roles of metric and mapping knowledge. Memory &amp; Cognition, 43(7), 1071-1084. doi: 10.3758/s13421-015-0524-4</t>
  </si>
  <si>
    <t>Smith, AR; Windschitl, PD</t>
  </si>
  <si>
    <t>Resisting anchoring effects: The roles of metric and mapping knowledge</t>
  </si>
  <si>
    <t>10.3758/s13421-015-0524-4</t>
  </si>
  <si>
    <t>https://doi.org/10.3758/s13421-015-0524-4</t>
  </si>
  <si>
    <t>https://link.springer.com/article/10.3758/s13421-015-0524-4</t>
  </si>
  <si>
    <t>Smith, A. R., &amp; Windschitl, P. D. (2011). Biased calculations: Numeric anchors influence answers to math equations. Judgment and Decision Making, 6(2), 139.</t>
  </si>
  <si>
    <t>Biased calculations: Numeric anchors influence answers to math equations</t>
  </si>
  <si>
    <t>Smith, A. R., Windschitl, P. D., &amp; Bruchmann, K. (2013). Knowledge matters: Anchoring effects are moderated by knowledge level. European Journal of Social Psychology, 43(1), 97-108. doi: 10.1002/ejsp.1921</t>
  </si>
  <si>
    <t>Smith, AR; Windschitl, PD; Bruchmann, K</t>
  </si>
  <si>
    <t>Knowledge matters: Anchoring effects are moderated by knowledge level</t>
  </si>
  <si>
    <t>10.1002/ejsp.1921</t>
  </si>
  <si>
    <t>https://doi.org/10.1002/ejsp.1921</t>
  </si>
  <si>
    <t>https://libres.uncg.edu/ir/asu/f/Smith_Andrew_2013_Knowledge%20Matters.pdf</t>
  </si>
  <si>
    <t>Smith, H. D. (1999). Use of the anchoring and adjustment heuristic by children. Current Psychology, 18(3), 294-300. doi: 10.1007/s12144-999-1004-4</t>
  </si>
  <si>
    <t>Smith, HD</t>
  </si>
  <si>
    <t>Use of the anchoring and adjustment heuristic by children</t>
  </si>
  <si>
    <t>10.1007/s12144-999-1004-4</t>
  </si>
  <si>
    <t>https://doi.org/10.1007/s12144-999-1004-4</t>
  </si>
  <si>
    <t>hdsmith@northwestern.edu</t>
  </si>
  <si>
    <t>Snowman, A., &amp; Kucharska, J. (2020). The effect of anchoring on curriculum vitae (CV) judgments. The Psychologist-Manager Journal, 23(1), 12. doi: 10.1037/mgr0000092</t>
  </si>
  <si>
    <t>Snowman, Anna; Kucharska, Justyna</t>
  </si>
  <si>
    <t>The effect of anchoring on curriculum vitae (CV) judgments.</t>
  </si>
  <si>
    <t>10.1037/mgr0000092</t>
  </si>
  <si>
    <t>https://doi.org/10.1037/mgr0000092</t>
  </si>
  <si>
    <t>justyna@jk-elate.com</t>
  </si>
  <si>
    <t>St Amand, M. D., &amp; Zamble, E. (2001). Impact of information about sentencing decisions on public attitudes toward the criminal justice system. Law and human behavior, 25(5), 515-528. doi: 10.1023/A:1012844932754</t>
  </si>
  <si>
    <t>St Amand, MD; Zamble, E</t>
  </si>
  <si>
    <t>Impact of information about sentencing decisions on public attitudes toward the criminal justice system</t>
  </si>
  <si>
    <t>10.1023/A:1012844932754</t>
  </si>
  <si>
    <t>https://doi.org/10.1023/A:1012844932754</t>
  </si>
  <si>
    <t>Michelle ST AMAND-JOHNSON · Psychologist · Doctor of Philosophy · Nova Scotia Health Authority, Halifax · CDHA · Forensic Sexual Behaviour Program (researchgate.net)</t>
  </si>
  <si>
    <t>Stapel, D. A., Koomen, W., &amp; Velthuijsen, A. S. (1998). Assimilation or contrast?: Comparison relevance, distinctness, and the impact of accessible information on consumer judgments. Journal of Consumer Psychology, 7(1), 1-24. doi: 10.1207/s15327663jcp0701_01</t>
  </si>
  <si>
    <t>Stapel, Diederik A.; Koomen, Willem; Velthuijsen, Aart S.</t>
  </si>
  <si>
    <t>Assimilation or contrast? Comparison relevance, distinctness, and the impact of accessible information on consumer judgments.</t>
  </si>
  <si>
    <t>10.1207/s15327663jcp0701_01</t>
  </si>
  <si>
    <t>https://doi.org/10.1207/s15327663jcp0701_01</t>
  </si>
  <si>
    <t>Students exchange over lectures Diederik Stapel at Fontys: 'I take it with a grain of salt' - Omroep Brabant</t>
  </si>
  <si>
    <t>Stern, C., &amp; West, T. V. (2016). Ideological differences in anchoring and adjustment during social inferences. Personality and Social Psychology Bulletin, 42(11), 1466-1479. doi: 10.1177/0146167216664058</t>
  </si>
  <si>
    <t>Stern, C; West, TV</t>
  </si>
  <si>
    <t>Ideological Differences in Anchoring and Adjustment During Social Inferences</t>
  </si>
  <si>
    <t>10.1177/0146167216664058</t>
  </si>
  <si>
    <t>https://doi.org/10.1177/0146167216664058</t>
  </si>
  <si>
    <t>chadly@illinois.edu</t>
  </si>
  <si>
    <t>link (http://pspb.sagepub .com/supplemental.) doesn't work</t>
  </si>
  <si>
    <t>Strack, F., &amp; Mussweiler, T. (1997). Explaining the enigmatic anchoring effect: Mechanisms of selective accessibility. Journal of personality and social psychology, 73(3), 437. doi: 10.1037/0022-3514.73.3.437</t>
  </si>
  <si>
    <t>Strack, F; Mussweiler, T</t>
  </si>
  <si>
    <t>Explaining the enigmatic anchoring effect: Mechanisms of selective accessibility</t>
  </si>
  <si>
    <t>10.1037/0022-3514.73.3.437</t>
  </si>
  <si>
    <t>https://doi.org/10.1037/0022-3514.73.3.437</t>
  </si>
  <si>
    <t>Strack, F., Bahník, Š., &amp; Mussweiler, T. (2016). Anchoring: accessibility as a cause of judgmental assimilation. Current Opinion in Psychology, 12, 67-70. doi: 10.1016/j.copsyc.2016.06.005</t>
  </si>
  <si>
    <t>Strack, Fritz; Bahník, Štěpán; Mussweiler, Thomas</t>
  </si>
  <si>
    <t>Anchoring: Accessibility as a cause of judgmental assimilation.</t>
  </si>
  <si>
    <t>10.1016/j.copsyc.2016.06.005</t>
  </si>
  <si>
    <t>https://doi.org/10.1016/j.copsyc.2016.06.005</t>
  </si>
  <si>
    <t>strack@psychologie.uni-wuerzburg.de</t>
  </si>
  <si>
    <t>Sugimoto, Takashi; Takano, Yotaro</t>
  </si>
  <si>
    <t>10.5265/jcogpsy.8.145</t>
  </si>
  <si>
    <t>https://doi.org/10.5265/jcogpsy.8.145</t>
  </si>
  <si>
    <t>APA citation can't be found (also not in OpAQ)</t>
  </si>
  <si>
    <t>Teovanović, P. (2019). Individual differences in anchoring effect: Evidence for the role of insufficient adjustment. Europe's Journal of Psychology, 15(1), 8. doi: 10.5964/ejop.v15i1.1691</t>
  </si>
  <si>
    <t>Teovanović P</t>
  </si>
  <si>
    <t>Individual Differences in Anchoring Effect: Evidence for the Role of Insufficient Adjustment.</t>
  </si>
  <si>
    <t>10.5964/ejop.v15i1.1691</t>
  </si>
  <si>
    <t>https://doi.org/10.5964/ejop.v15i1.1691</t>
  </si>
  <si>
    <t>https://www.ncbi.nlm.nih.gov/pmc/articles/PMC6396698/</t>
  </si>
  <si>
    <t>teovanovic@gmail.com</t>
  </si>
  <si>
    <t xml:space="preserve">Data might be available in tables, not sure if it's enough </t>
  </si>
  <si>
    <t>Thorsteinson, T. J. (2011). Initiating Salary Discussions With an Extreme Request: Anchoring Effects on Initial Salary Offers 1. Journal of Applied Social Psychology, 41(7), 1774-1792. doi: 10.1111/j.1559-1816.2011.00779.x</t>
  </si>
  <si>
    <t>Thorsteinson, TJ</t>
  </si>
  <si>
    <t>Initiating Salary Discussions With an Extreme Request: Anchoring Effects on Initial Salary Offers</t>
  </si>
  <si>
    <t>10.1111/j.1559-1816.2011.00779.x</t>
  </si>
  <si>
    <t>https://doi.org/10.1111/j.1559-1816.2011.00779.x</t>
  </si>
  <si>
    <t>tthorste@uidaho.edu</t>
  </si>
  <si>
    <t>Thorsteinson, T. J., Breier, J., Atwell, A., Hamilton, C., &amp; Privette, M. (2008). Anchoring effects on performance judgments. Organizational Behavior and Human Decision Processes, 107(1), 29-40. doi:10.1016/j.obhdp.2008.01.003</t>
  </si>
  <si>
    <t>Thorsteinson, TJ; Breier, J; Atwell, A; Hamilton, C; Privette, M</t>
  </si>
  <si>
    <t>Anchoring effects on performance judgments</t>
  </si>
  <si>
    <t>10.1016/j.obhdp.2008.01.003</t>
  </si>
  <si>
    <t>https://doi.org/10.1016/j.obhdp.2008.01.003</t>
  </si>
  <si>
    <t>Upshaw, H. S. (1978). Social influence on attitudes and on anchoring of congeneric attitude scales. Journal of Experimental Social Psychology, 14(4), 327-339. doi: 10.1016/0022-1031(78)90029-X</t>
  </si>
  <si>
    <t>Upshaw, Harry S.</t>
  </si>
  <si>
    <t>Social influence on attitudes and on anchoring of congeneric attitude scales.</t>
  </si>
  <si>
    <t>10.1016/0022-1031(78)90029-X</t>
  </si>
  <si>
    <t>https://doi.org/10.1016/0022-1031(78)90029-X</t>
  </si>
  <si>
    <t>all authors deceased</t>
  </si>
  <si>
    <t>van der Pligt, J., van Schie, E., &amp; Hoevenagel, R. (1998). Understanding and valuing environmental issues. The effects of availability and anchoring on judgment. Zeitschrift für experimentelle Psychologie.</t>
  </si>
  <si>
    <t>van der Pligt, J; van Schie, ECM; Hoevenagel, R</t>
  </si>
  <si>
    <t>Understanding and valuing environmental issues: The effects of availability and anchoring on judgment</t>
  </si>
  <si>
    <t>Watamura, E., Wakebe, T., &amp; Saeki, M. (2014). Experimental verification of the anchoring effect of a punishment reference histogram. Japanese Society of Social Psychology, 30, 11-20. doi: 10.14966/jssp.30.1_11</t>
  </si>
  <si>
    <t>Watamura, Eiichiro; Wakebe, Toshihiro; Saeki, Masahiko</t>
  </si>
  <si>
    <t>Experimental verification of the anchoring effect of a punishment reference histogram.</t>
  </si>
  <si>
    <t>10.14966/jssp.30.1_11</t>
  </si>
  <si>
    <t>https://doi.org/10.14966/jssp.30.1_11</t>
  </si>
  <si>
    <t>Wegener, D. T., Petty, R. E., Detweiler-Bedell, B. T., &amp; Jarvis, W. B. G. (2001). Implications of attitude change theories for numerical anchoring: Anchor plausibility and the limits of anchor effectiveness. Journal of Experimental Social Psychology, 37(1), 62-69. doi:  10.1006/jesp.2000.1431</t>
  </si>
  <si>
    <t>Wegener, DT; Petty, RE; Detweiler-Bedell, BT; Jarvis, WBG</t>
  </si>
  <si>
    <t>Implications of attitude change theories for numerical anchoring: Anchor plausibility and the limits of anchor effectiveness</t>
  </si>
  <si>
    <t>10.1006/jesp.2000.1431</t>
  </si>
  <si>
    <t>https://doi.org/10.1006/jesp.2000.1431</t>
  </si>
  <si>
    <t>petty.1@osu.edu</t>
  </si>
  <si>
    <t>Whyte, G., &amp; Sebenius, J. K. (1997). The effect of multiple anchors on anchoring in individual and group judgment. Organizational behavior and human decision processes, 69(1), 75-85. doi: 10.1006/obhd.1996.2674</t>
  </si>
  <si>
    <t>Whyte, G; Sebenius, JK</t>
  </si>
  <si>
    <t>The effect of multiple anchors on anchoring in individual and group judgment</t>
  </si>
  <si>
    <t>10.1006/obhd.1996.2674</t>
  </si>
  <si>
    <t>https://doi.org/10.1006/obhd.1996.2674</t>
  </si>
  <si>
    <t>whyte@rotman.utoronto.ca</t>
  </si>
  <si>
    <t>Wilson, T. D., Houston, C. E., Etling, K. M., &amp; Brekke, N. (1996). A new look at anchoring effects: basic anchoring and its antecedents. Journal of Experimental Psychology: General, 125(4), 387. doi: 10.1037/0096-3445.125.4.387</t>
  </si>
  <si>
    <t>Wilson, TD; Houston, CE; Brekke, N</t>
  </si>
  <si>
    <t>A new look at anchoring effects: Basic anchoring and its antecedents</t>
  </si>
  <si>
    <t>10.1037/0096-3445.125.4.387</t>
  </si>
  <si>
    <t>https://doi.org/10.1037/0096-3445.125.4.387</t>
  </si>
  <si>
    <t>tdw@virginia.edu</t>
  </si>
  <si>
    <t>Wong, K. F. E., &amp; Kwong, J. Y. Y. (2000). Is 7300 m equal to 7.3 km? Same semantics but different anchoring effects. Organizational Behavior and Human Decision Processes, 82(2), 314-333. doi; 10.1006/obhd.2000.2900</t>
  </si>
  <si>
    <t>Wong, KFE; Kwong, JYY</t>
  </si>
  <si>
    <t>Is 7300 m equal to 7.3 km? Same semantics but different anchoring effects</t>
  </si>
  <si>
    <t>10.1006/obhd.2000.2900</t>
  </si>
  <si>
    <t>https://doi.org/10.1006/obhd.2000.2900</t>
  </si>
  <si>
    <t>mnewong@ust.hk</t>
  </si>
  <si>
    <t>Wu, C. S., Cheng, F. F., &amp; Lin, H. H. (2008). Exploring anchoring effect and the moderating role of repeated anchor in electronic commerce. Behaviour &amp; Information Technology, 27(1), 31-42. doi: 10.1080/01449290600874998</t>
  </si>
  <si>
    <t>Wu, C.-S.; Cheng, F.-F.; Lin, H.-H.</t>
  </si>
  <si>
    <t>Exploring anchoring effect and the moderating role of repeated anchor in electronic commerce.</t>
  </si>
  <si>
    <t>10.1080/01449290600874998</t>
  </si>
  <si>
    <t>https://doi.org/10.1080/01449290600874998</t>
  </si>
  <si>
    <t>jackwu@thu.edu.tw</t>
  </si>
  <si>
    <t>Wu, C. S., Cheng, F. F., &amp; Yen, D. C. (2012). The role of Internet buyer's product familiarity and confidence in anchoring effect. Behaviour &amp; Information Technology, 31(9), 829-838. doi: 10.1080/0144929X.2010.510210</t>
  </si>
  <si>
    <t>Wu, Chin-Shan; Cheng, Fei-Fei; Yen, David C.</t>
  </si>
  <si>
    <t>The role of Internet buyer's product familiarity and confidence in anchoring effect.</t>
  </si>
  <si>
    <t>10.1080/0144929X.2010.510210</t>
  </si>
  <si>
    <t>https://doi.org/10.1080/0144929X.2010.510210</t>
  </si>
  <si>
    <t>Yamamoto, A., &amp; Higuchi, M. (2020). Expectation Regarding Benefit Does Not Determine Gratitude: Implications From an Anchoring Paradigm. Japanese Psychological Research.</t>
  </si>
  <si>
    <t>Yamamoto, A; Higuchi, M</t>
  </si>
  <si>
    <t>Expectation Regarding Benefit Does Not Determine Gratitude: Implications From an Anchoring Paradigm</t>
  </si>
  <si>
    <t>10.1111/jpr.12317</t>
  </si>
  <si>
    <t>https://doi.org/10.1111/jpr.12317</t>
  </si>
  <si>
    <t>https://onlinelibrary.wiley.com/doi/epdf/10.1111/jpr.12317</t>
  </si>
  <si>
    <t>y_akitomo_1029@yahoo.co.jp</t>
  </si>
  <si>
    <t>Yik, M., Wong, K. F. E., &amp; Zeng, K. J. (2019). Anchoring-and-adjustment during affect inferences. Frontiers in psychology, 2567. doi: 10.3389/fpsyg.2018.02567</t>
  </si>
  <si>
    <t>Yik, M; Wong, KFE; Zeng, KJ</t>
  </si>
  <si>
    <t>Anchoring-and-Adjustment During Affect Inferences</t>
  </si>
  <si>
    <t>10.3389/fpsyg.2018.02567</t>
  </si>
  <si>
    <t>https://doi.org/10.3389/fpsyg.2018.02567</t>
  </si>
  <si>
    <t>Michelle.Yik@ust.hk</t>
  </si>
  <si>
    <t>Yoon, S., Fong, N. M., &amp; Dimoka, A. (2019). The robustness of anchoring effects on preferential judgments. Judgment &amp; Decision Making, 14(4).</t>
  </si>
  <si>
    <t>Yoon, S; Fong, NM; Dimoka, A</t>
  </si>
  <si>
    <t>The robustness of anchoring effects on preferential judgments</t>
  </si>
  <si>
    <t>OSF | Robustness of Preference Anchoring</t>
  </si>
  <si>
    <t>164_Daten von Yoon, Fong, Dimoka</t>
  </si>
  <si>
    <t>Zeng, J., Liu, M., Hou, X., Zhang, Q., Chen, H., &amp; Su, L. (2020). Can genes modulate anchoring effect?. International Journal of Psychology, 55(6), 1011-1015. doi: 10.1002/ijop.12669</t>
  </si>
  <si>
    <t>Zeng, JM; Liu, MR; Hou, XR; Zhang, QL; Chen, H; Su, L</t>
  </si>
  <si>
    <t>Can genes modulate anchoring effect?</t>
  </si>
  <si>
    <t>10.1002/ijop.12669</t>
  </si>
  <si>
    <t>https://doi.org/10.1002/ijop.12669</t>
  </si>
  <si>
    <t>OSF | Anchoring Effect and Genotype</t>
  </si>
  <si>
    <t>165_Daten von Zeng, Liu, Hou, Zhang, Chen, Su</t>
  </si>
  <si>
    <t>trials have been aggregated</t>
  </si>
  <si>
    <t>Zhang, Y. C., &amp; Schwarz, N. (2013). The power of precise numbers: A conversational logic analysis. Journal of Experimental Social Psychology, 49(5), 944-946. doi: 10.1016/j.jesp.2013.04.002</t>
  </si>
  <si>
    <t>Zhang, YC; Schwarz, N</t>
  </si>
  <si>
    <t>The power of precise numbers: A conversational logic analysis</t>
  </si>
  <si>
    <t>10.1016/j.jesp.2013.04.002</t>
  </si>
  <si>
    <t>https://doi.org/10.1016/j.jesp.2013.04.002</t>
  </si>
  <si>
    <t>norbert.schwarz@usc.edu</t>
  </si>
  <si>
    <t>Zhang, Z., Peng, C., &amp; Huang, X. (2008). Anchoring effects in duration estimation. Acta Psychologica Sinica, 40(02), 160. doi: 10.3724/SP.J.1041.2008.00160</t>
  </si>
  <si>
    <t>Zhang, Zhi-Jie; Peng, Chun-Hua; Huang, Xi-Ting</t>
  </si>
  <si>
    <t>Anchoring effects in duration estimation.</t>
  </si>
  <si>
    <t>10.3724/SP.J.1041.2008.00160</t>
  </si>
  <si>
    <t>xthuang@swu.edu.cn</t>
  </si>
  <si>
    <t>Zhou, Li-qing; Lu, Jing-y; Lu, Jia</t>
  </si>
  <si>
    <t>The influence of anchoring effect on duration estimation of real-life events.</t>
  </si>
  <si>
    <t xml:space="preserve">APA citation, doi &amp; article can't be found (also not in OpAQ) </t>
  </si>
  <si>
    <t xml:space="preserve">Röseler, Lukas &amp; Bögler, Hannah &amp; Koßmann, Lisa &amp; Krueger, Sabine &amp; Bickenbach, Sabrina &amp; Bühler, Ricarda &amp; Della Guardia, Jasmin &amp; Köppel, Lisa-Marie &amp; Ponader, Susanne &amp; Roßmaier, Konstantin &amp; Sing, Jessica. (2022). Replicating Epley and Gilovich: Need for Cognition, Cognitive Load, and Forewarning do not Moderate Anchoring Effects. 10.31234/osf.io/bgp3m. </t>
  </si>
  <si>
    <t>Bickenbach, S., Bühler, R., Kick, G., Koeth, C., Kroworsch, K., Ponader, S., &amp; Röseler, L. (2021, August 10). Replication of Epley and Gilovich (2006, Study 2a). Retrieved from osf.io/prwu6</t>
  </si>
  <si>
    <t>Knappe, E., Kraft, P., Lammersen, S., Loose, L., Röseler, L. (2017). Changing Self-Esteem with Anchoring Effects. Retrieved from https://osf.io/5zahy/ </t>
  </si>
  <si>
    <t>Knappe, E., Kraft, P., Lammersen, S., Loose, L., Röseler, L. (2017). Changing Self-Esteem with Anchoring Effects. Retrieved from https://osf.io/5zahy/</t>
  </si>
  <si>
    <t xml:space="preserve">Röseler, Lukas. (2016). Generalizability in psychological and economic research: A theoretical and empirical investigation. 10.13140/RG.2.1.5094.4889. </t>
  </si>
  <si>
    <t>Röseler, L. (2016). Generalizability in psychological and economic research: A theoretical and empirical investigation. Advance online publication. https://doi.org/10.13140/RG.2.1.5094.4889</t>
  </si>
  <si>
    <t>https://osf.io/e5dqg/</t>
  </si>
  <si>
    <t>Röseler, L., &amp; Röseler, J. J. (2017). Anchoring and Construal Level. [Unpublished data]. Retrieved from osf.io/kd4cf</t>
  </si>
  <si>
    <t>Röseler, L., &amp; Röseler, J. J. (2017). Anchoring and Construal Level. Retrieved from osf.io/kd4cf</t>
  </si>
  <si>
    <t>doi can't be found, unpublished; update citation</t>
  </si>
  <si>
    <t>Röseler, L. (2021, November 27). Anchoring and Adjustment: A Critical Test of the Time Hypothesis. [Unpublished data]. University of Bamberg. Retrieved from osf.io/8cwpy</t>
  </si>
  <si>
    <t>Röseler, L. (2021). Anchoring and Adjustment: A Critical Test of the Time Hypothesis. Retrieved from osf.io/8cwpy</t>
  </si>
  <si>
    <t>doi can't be found; update citation</t>
  </si>
  <si>
    <t>Cheek, N. N., &amp; Norem, J. K. (2022). Individual differences in anchoring susceptibility: Verbal reasoning, autistic tendencies, and narcissism. Personality and Individual Differences, 184, 111212. doi: 10.1016/j.paid.2021.111212</t>
  </si>
  <si>
    <t>Cheek, N. N., &amp; Norem, J. K. (2022). Individual differences in anchoring susceptibility: Verbal reasoning, autistic tendencies, and narcissism. Personality and Individual Differences, 184, 111212.</t>
  </si>
  <si>
    <t xml:space="preserve"> Individual differences in anchoring susceptibility: Verbal reasoning, autistic tendencies, and narcissism</t>
  </si>
  <si>
    <t xml:space="preserve">Bergman, Oscar &amp; Ellingsen, Tore &amp; Johannesson, Magnus &amp; Svensson, Cicek. (2010). Anchoring and Cognitive Ability. Economics Letters. 107. 66-68. 10.1016/j.econlet.2009.12.028. </t>
  </si>
  <si>
    <t>Bergman, O., Ellingsen, T., Johannesson, M., &amp; Svensson, C. (2010). Anchoring and cognitive ability. Economics Letters, 107(1), 66-68.</t>
  </si>
  <si>
    <t>Anchoring and cognitive ability</t>
  </si>
  <si>
    <t>https://www.sciencedirect.com/science/article/pii/S0165176509004327</t>
  </si>
  <si>
    <t>Bahník, Š. (2021). Anchoring does not activate examples associated with the anchor value. Doi: 10.31234/osf.io/4j5wb</t>
  </si>
  <si>
    <t>Bahnik, S.</t>
  </si>
  <si>
    <t>Anchoring does not activate examples associated with the anchor value</t>
  </si>
  <si>
    <t>https://psyarxiv.com/4j5wb/</t>
  </si>
  <si>
    <t>https://osf.io/pf7g2/</t>
  </si>
  <si>
    <t>Röseler: Kontrast 1: Grautöne &amp; Linienlänge</t>
  </si>
  <si>
    <t>APA citation, doi &amp; article can't be found</t>
  </si>
  <si>
    <t>Röseler: Kontrast 3 wenurz-viang</t>
  </si>
  <si>
    <t>Röseler &amp; Wackershauser-Sablotny: Kontrast 4 / wenurz-viang</t>
  </si>
  <si>
    <t>Felix Wagner Studie (Kontrast 5)</t>
  </si>
  <si>
    <t>Dijkstra, K., &amp; Wessel, I. (2021). “I Remember Having Chicken Pox at Age 3”: How Can Age Manipulations Affect One’s Earliest Childhood Memories?. Collabra: Psychology, 7(1), 21963. doi: 10.1525/collabra.21963</t>
  </si>
  <si>
    <t>Dijkstra, K., &amp; Wessel, I</t>
  </si>
  <si>
    <t>2021 "I Remember Having Chicken Pox at Age 3”: How Can Age Manipulations Affect One’s Earliest Childhood Memories?</t>
  </si>
  <si>
    <t>https://doi.org/10.1525/collabra.21963</t>
  </si>
  <si>
    <t>https://osf.io/h4nj6/</t>
  </si>
  <si>
    <t>Pavlovic, Z. (2021, December 7). Anchoring data. Retrieved from osf.io/sze8x </t>
  </si>
  <si>
    <t>Pavlović, Z. (2021, December 6). Anchoring data. Retrieved from osf.io/sze8x</t>
  </si>
  <si>
    <t>https://osf.io/ek6c7/</t>
  </si>
  <si>
    <t>Molden, D. C. (2020, October 22). An undergraduate class exercise about anchoring. </t>
  </si>
  <si>
    <t>Molden, D. C. (2020, October 22). An undergraduate class exercise about anchoring</t>
  </si>
  <si>
    <t>An undergraduate class exercise about anchoring</t>
  </si>
  <si>
    <t>Bermeitinger, C. &amp; Unger, B. (2014). Influences on the Marking of Examinations. Psychology, 5, 91-98. doi: 10.4236/psych.2014.52014.</t>
  </si>
  <si>
    <t>Bermeitinger, C.</t>
  </si>
  <si>
    <t>https://pdfs.semanticscholar.org/5592/0358c1797dbcd98d8e7f776ec66d8b9c16c8.pdf</t>
  </si>
  <si>
    <t>Rinn. R. &amp; Henkel. M. (2021). Income wealth threshold estimations. [Unpublished data]. University of Würzburg</t>
  </si>
  <si>
    <t>Rinn, R.</t>
  </si>
  <si>
    <t>Not sure if that is the right citation (just the author's last name was known)</t>
  </si>
  <si>
    <t>Genschow, O. (2019). [Lecture survey] [Unpublished raw data]. University of Cologne, Germany</t>
  </si>
  <si>
    <t>Genschow, O.</t>
  </si>
  <si>
    <t>Klamar, Horvath, Welling, &amp; Muminovic (2018). Anchoring and Considering-the-opposite. [Unpublished data]. Technical University of Darmstadt.</t>
  </si>
  <si>
    <t>Considering the opposite replication</t>
  </si>
  <si>
    <t>Schulte, M.</t>
  </si>
  <si>
    <t>Not enough information</t>
  </si>
  <si>
    <t>Lee, C.-Y., &amp; Morewedge, C. K. (2021). Noise Increases Anchoring Effects. Psychological Science, 9567976211024254. https://doi.org/10.1177/09567976211024254"</t>
  </si>
  <si>
    <t>Lee &amp; Morewedge</t>
  </si>
  <si>
    <t>https://doi.org/10.1177/09567976211024254</t>
  </si>
  <si>
    <t>no data?</t>
  </si>
  <si>
    <t>Barrera, F. &amp; Navajas, J. (2018). [Unpublished data]. Universidad Torcuato Di Tella</t>
  </si>
  <si>
    <t>Barrera-Lemarchand, F.</t>
  </si>
  <si>
    <t>Unpublished data</t>
  </si>
  <si>
    <t>Frech, M.-L., Siems, M.-C., Häusser, J.A., &amp; Loschelder, D.D. (2021). Testing time and anchoring. [Unpublished data]. University of Lüneburg. </t>
  </si>
  <si>
    <t>Frech, ML; Häuser, J., Loschelder, DD</t>
  </si>
  <si>
    <t>Papenmeier, F. et al.</t>
  </si>
  <si>
    <t>viele Empra-Datensätze + Zeitdruck-Datensatz</t>
  </si>
  <si>
    <t>11 ExPra Datensätze + 1 time-pressure studie; Antwort vsl. Im Januar</t>
  </si>
  <si>
    <t xml:space="preserve">Not enough information, different possibilites: Papenmeier, F. (2021). [Unpublished raw data collected within the course Experimentalpsychologisches Praktikum 1 (group 2)]. University of Tübingen. -&gt; data might be avaiable because he sent it? 
- Papenmeier, F., &amp; Rebholz, T. R. (2021). [Unpublished raw data]. University of Tübingen. 
- Papenmeier, F., Intelmann, P., &amp; Wolf, H. (2021). [Unpublished raw data collected within the course Experimentalpsychologisches Praktikum 1 (group 1)]. University of Tübingen. 
- Papenmeier, F., Panse, F., &amp; Schreiner, N. B. (2021). [Unpublished raw data collected within the course Experimentalpsychologisches Praktikum 1 (group 9)]. University of Tübingen. </t>
  </si>
  <si>
    <t>Zimdahl, M. F., &amp; Undorf, M. (2021). Hindsight bias in metamemory: outcome knowledge influences the recollection of judgments of learning. Memory, 29(5), 559-572.</t>
  </si>
  <si>
    <t>Zimdahl, M., Undorf, M.</t>
  </si>
  <si>
    <t>Hindsight bias in metamemory: Outcome knowledge influences the recollection of judgments of learning.</t>
  </si>
  <si>
    <t>https://doi.org/10.1080/09658211.2021.1919144</t>
  </si>
  <si>
    <t>https://osf.io/6jpcy/</t>
  </si>
  <si>
    <t>Dohle, S. (2021). [Lecture survey] [Unpublished raw data]. Bielefeld University, Germany.</t>
  </si>
  <si>
    <t>Dohle, S.</t>
  </si>
  <si>
    <t>Bielefeld Unpublished Data</t>
  </si>
  <si>
    <t>Röseler et al.: E&amp;G Replication 2005 Study 2</t>
  </si>
  <si>
    <t>https://osf.io/xdqn8/</t>
  </si>
  <si>
    <t>Röseler et al.: E&amp;G Replication 2006 Study 2c</t>
  </si>
  <si>
    <t>Seida, C., &amp; Röseler, L. (2021, December 2). Anchoring and Adjustment: A Critical Test of the Time Hypothesis. Retrieved from osf.io/8cwpy</t>
  </si>
  <si>
    <t>Röseler &amp; Seida Kontrast</t>
  </si>
  <si>
    <t>osf.io/8cwpy</t>
  </si>
  <si>
    <t>Milstein, N. &amp; Halali, E. (2021). [Unpublished data]. Bar-Ilan University, Israel. </t>
  </si>
  <si>
    <t>Milstein, Halali</t>
  </si>
  <si>
    <t>in preperation</t>
  </si>
  <si>
    <t>Schreiter, M. L. Antunovic, L. Dorsch, L., Thies, K., Thum, E., Novak, J., Stitz, M., Starkulla, M., &amp; Stäglich, P. (2021). [Unpublished raw data collected within the course Experimentalpsychologisches Praktikum 1 (group 4)]. University of Tübingen.</t>
  </si>
  <si>
    <t>Antunovic, Schreiter</t>
  </si>
  <si>
    <t>Tübingen Empra</t>
  </si>
  <si>
    <t>https://osf.io/ca4ze/</t>
  </si>
  <si>
    <t>Hedgebeth, M. (2021). [Unpublished data]. Virginia Commonwealth University. </t>
  </si>
  <si>
    <t>Hedgebeth</t>
  </si>
  <si>
    <t>Imhoff, R., &amp; Barker, P. (2022). Connecting the Dots: Non-linear Patterns in the Presence of Symbolic and Non-symbolic Numerical Standards. Manuscript under revision.</t>
  </si>
  <si>
    <t>Imhoff &amp; Barker, 2022</t>
  </si>
  <si>
    <t>Ioannidis, K., Offerman, T., &amp; Sloof, R. (2020). On the effect of anchoring on valuations when the anchor is transparently uninformative. Journal of the Economic Science. Association, 6(1), 77-94. doi: 10.1007/s40881-020-00094-1</t>
  </si>
  <si>
    <t>Ioannidis, Offerman, &amp; Sloof</t>
  </si>
  <si>
    <t>Ioannidis K., Offerman T. &amp; Sloof R. (2020). On the effect of anchoring on valuations when the anchor is transparently uninformative. Journal of the Economic Science Association, 6(1): 77-409</t>
  </si>
  <si>
    <t>Maniadis, Z., Tufano, F., &amp; List, J. A. (2014). One swallow doesn't make a summer: New evidence on anchoring effects. American Economic Review, 104(1), 277-90. doi: 10.1257/aer.104.1.277</t>
  </si>
  <si>
    <t>https://www.aeaweb.org/articles?id=10.1257/aer.104.1.277</t>
  </si>
  <si>
    <t>https://www.openicpsr.org/openicpsr/project/112727/version/V1/view</t>
  </si>
  <si>
    <t>Datalink can be found, but access just by login to ICPSR</t>
  </si>
  <si>
    <t>Fudenberg, D., Levine, D. K., &amp; Maniadis, Z. (2012). On the robustness of anchoring effects in WTP and WTA experiments. American Economic Journal: Microeconomics, 4(2), 131-45. doi: 10.1257/mic.4.2.131</t>
  </si>
  <si>
    <t>https://www.aeaweb.org/articles?id=10.1257/mic.4.2.131</t>
  </si>
  <si>
    <t>https://www.openicpsr.org/openicpsr/project/114395/version/V1/view</t>
  </si>
  <si>
    <t xml:space="preserve">Sugden, Robert &amp; Zheng, Jiwei &amp; Zizzo, Daniel. (2013). Not all anchors are created equal. Journal of Economic Psychology. 39. 21–31. 10.1016/j.joep.2013.06.008. </t>
  </si>
  <si>
    <t>Sugden, R., Zheng, J., &amp; Zizzo, D. J. (2013). Not all anchors are created equal. Journal of Economic Psychology, 39, 21-31.</t>
  </si>
  <si>
    <t>https://www.sciencedirect.com/science/article/pii/S0167487013000834?via%3Dihub#s0095</t>
  </si>
  <si>
    <t>Appendix A. Supplementary material</t>
  </si>
  <si>
    <t xml:space="preserve">Unter supplementary material sind Daten verfügbar? </t>
  </si>
  <si>
    <t>Yoon, H., Scopelliti, I., &amp; Morewedge, C. K. (2021). Decision making can be improved through observational learning. Organizational Behavior and Human Decision Processes, 162, 155-188. https://doi.org/10.1016/j.obhdp.2020.10.011</t>
  </si>
  <si>
    <t>https://osf.io/e2byg/</t>
  </si>
  <si>
    <t>Zong, Y., &amp; Guo, X. (2022). An Experimental Study on Anchoring Effect of Consumers’ Price Judgment Based on Consumers’ Experiencing Scenes. Frontiers in Psychology, 13, 794135. doi. https://doi.org/10.3389/fpsyg.2022.794135</t>
  </si>
  <si>
    <t>https://www.frontiersin.org/articles/10.3389/fpsyg.2022.794135/full</t>
  </si>
  <si>
    <t xml:space="preserve">Data provided in supplementary material, but I'm not sure if it's enough </t>
  </si>
  <si>
    <t>Edmar, B. A. (2021). Estimating the informative: Anchoring in estimations of observed ratios.</t>
  </si>
  <si>
    <t>https://gupea.ub.gu.se/bitstream/handle/2077/68639/gupea_2077_68639_1.pdf?sequence=1</t>
  </si>
  <si>
    <t>Bachelor thesis</t>
  </si>
  <si>
    <t xml:space="preserve">Navarre, Aglaé &amp; Didierjean, André &amp; Thomas, Cyril. (2022). Are the anchoring effect and the Einstellung effect two facets of the same phenomenon?. New Ideas in Psychology. 64. 100918. 10.1016/j.newideapsych.2021.100918. </t>
  </si>
  <si>
    <t>https://www.sciencedirect.com/science/article/abs/pii/S0732118X21000672#:~:text=The%20anchoring%20effect%20and%20the%20Einstellung%20effect%20are%20two%20cognitive,a%20“mental%20set”%20effect.</t>
  </si>
  <si>
    <t>no full item report even though existing link https://gupea.ub.gu.se/handle/2077/68639?show=full</t>
  </si>
  <si>
    <t>Kramer, R. S., &amp; Pustelnik, L. R. (2021). Sequential effects in facial attractiveness judgments: Separating perceptual and response biases. Visual Cognition, 29(10), 679-688. doi: https://doi.org/10.1080/13506285.2021.1995558</t>
  </si>
  <si>
    <t>https://www.researchgate.net/publication/355857200_Sequential_effects_in_facial_attractiveness_judgments_Separating_perceptual_and_response_biases</t>
  </si>
  <si>
    <t>Orr, D., &amp; Guthrie, C. (2005). Anchoring, information, expertise, and negotiation: New insights from meta-analysis. Ohio St. J. on Disp. Resol., 21, 597.</t>
  </si>
  <si>
    <t>https://scholarship.law.vanderbilt.edu/cgi/viewcontent.cgi?article=1727&amp;context=faculty-publications</t>
  </si>
  <si>
    <t>Cooper, B., Giordano, C. R., Erez, A., Foulk, T. A., Reed, H., &amp; Berg, K. B. (2021). Trapped by a first hypothesis: How rudeness leads to anchoring. Journal of Applied Psychology. Doi: https://doi.org/10.1037/apl0000914</t>
  </si>
  <si>
    <t>https://www.researchgate.net/publication/349928920_Trapped_by_A_First_Hypothesis_How_Rudeness_Leads_to_Anchoring</t>
  </si>
  <si>
    <t>No free download available</t>
  </si>
  <si>
    <t>Rader, C. A., Soll, J. B., &amp; Larrick, R. P. (2015). Pushing away from representative advice: Advice taking, anchoring, and adjustment. Organizational Behavior and Human Decision Processes, 130, 26–43. https://doi.org/10.1016/j.obhdp.2015.05.004</t>
  </si>
  <si>
    <t>https://www.sciencedirect.com/science/article/abs/pii/S0749597815000552</t>
  </si>
  <si>
    <t>Ceravolo, M. G., Farina, V., Fattobene, L., Leonelli, L., &amp; Raggetti, G. (2022). Anchoring effect in visual information processing during financial decisions: An eye-tracking study. Journal of Neuroscience, Psychology, and Economics, 15(1), 19–30. https://doi.org/10.1037/npe0000153</t>
  </si>
  <si>
    <t>https://www.researchgate.net/publication/357822191_Anchoring_effect_in_visual_information_processing_during_financial_decisions_An_eye-tracking_study</t>
  </si>
  <si>
    <t>Liu, M., Zeng, J., &amp; Gao, Z. (2021). The interval anchoring effect. Experimental Psychology, 68(6), 295–304. https://doi.org/10.1027/1618-3169/a000534</t>
  </si>
  <si>
    <t>https://econtent.hogrefe.com/doi/abs/10.1027/1618-3169/a000534?journalCode=zea</t>
  </si>
  <si>
    <t>Hardt, O., &amp; Pohl, R. (2003). Hindsight bias as a function of anchor distance and anchor plausibility. Memory, 11(4-5), 379-394. doi: 10.1080/09658210244000504</t>
  </si>
  <si>
    <t>https://www.tandfonline.com/doi/abs/10.1080/09658210244000504</t>
  </si>
  <si>
    <t>Landmann, H., Gaschler, R., &amp; Rohmann, A. (2019). What is threatening about refugees? Identifying different types of threat and their association with emotional responses and attitudes towards refugee migration. European Journal of Social Psychology, 49(7), 1401-1420. doi: https://doi.org/10.1002/ejsp.2593</t>
  </si>
  <si>
    <t>https://doi.org/10.17605/OSF.IO/9NGJM</t>
  </si>
  <si>
    <t>https://osf.io/9ngjm</t>
  </si>
  <si>
    <t xml:space="preserve">Bornmann L, Ganser C, Tekles A (2021) Anchoring effects in the assessment of papers: The proposal for an empirical survey of citing authors. PLoS ONE 16(9): e0257307. https://doi.org/ 10.1371/journal.pone.0257307 </t>
  </si>
  <si>
    <t>http://dx.doi.org/10.1371/journal.pone.0257307</t>
  </si>
  <si>
    <t>data are included as tables in paper</t>
  </si>
  <si>
    <t xml:space="preserve">Not sure if the provided data is enough </t>
  </si>
  <si>
    <t>Kimbrough, E. O., Porter, D., &amp; Schneider, M. (2020). Reference dependent prices in bargaining: An experimental examination of precise first offers. Journal of Economic Psychology, 86, 102406.</t>
  </si>
  <si>
    <t>HIERZU MÜSSTE ES EIN 2022 VERÖFFENTLICHTE VERSION GEBEN</t>
  </si>
  <si>
    <t>https://digitalcommons.chapman.edu/esi_working_papers/337/</t>
  </si>
  <si>
    <t xml:space="preserve">doi can't be found and there is no 2022 published version available </t>
  </si>
  <si>
    <t>Yasseri, T., Reher, J. Fooled by facts: quantifying anchoring bias through a large-scale experiment. J Comput Soc Sc (2022). https://doi.org/10.1007/s42001-021-00158-0</t>
  </si>
  <si>
    <t>https://www.researchgate.net/publication/357811562_Fooled_by_facts_quantifying_anchoring_bias_through_a_large-scale_experiment</t>
  </si>
  <si>
    <t>https://link.springer.com/article/10.1007/s42001-021-00158-0</t>
  </si>
  <si>
    <t>Data can be found at Supplementary Information</t>
  </si>
  <si>
    <t>Stubenvoll, M., &amp; Matthes, J. (2021). Why retractions of numerical misinformation fail: The anchoring effect of inaccurate numbers in the news. Journalism &amp; Mass Communication Quarterly, 10776990211021800. doi: https://doi.org/10.1177/10776990211021800</t>
  </si>
  <si>
    <t>https://www.researchgate.net/publication/352338720_Why_Retractions_of_Numerical_Misinformation_Fail_The_Anchoring_Effect_of_Inaccurate_Numbers_in_the_News</t>
  </si>
  <si>
    <t>https://journals.sagepub.com/doi/suppl/10.1177/10776990211021800</t>
  </si>
  <si>
    <t xml:space="preserve">3rd supplemental material is providing some data, but I'm not sure if that's enough </t>
  </si>
  <si>
    <t xml:space="preserve"> Imhoff, Roland &amp; Nickolaus, Christoph. (2021). Combined Anchoring: Prosecution and defense claims as sequential anchors in the courtroom. Legal and Criminological Psychology. 26. 10.1111/lcrp.12192. </t>
  </si>
  <si>
    <t>https://www.researchgate.net/publication/351376101_Combined_Anchoring_Prosecution_and_defense_claims_as_sequential_anchors_in_the_courtroom</t>
  </si>
  <si>
    <t>https://osf.io/4um8q</t>
  </si>
  <si>
    <t>Chui, P. M.W., Fong, L. H. N., Ren, J. , Tam, L.H.K. (2022). Anchoring effects in repeated auctions of homogeneous objects: Evidence from Macao, Journal of Economic Psychology (90). Doi: https://doi.org/10.1016/j.joep.2022.102514.</t>
  </si>
  <si>
    <t>https://www.sciencedirect.com/science/article/abs/pii/S0167487022000319</t>
  </si>
  <si>
    <t>Zhang M., Nazir M.S., Farooqi R., Ishfaq M. (2022). Moderating Role of Information Asymmetry Between Cognitive Biases and Investment Decisions: A Mediating Effect of Risk Perception. Front Psychology. doi: 10.3389/fpsyg.2022.828956</t>
  </si>
  <si>
    <t>https://www.frontiersin.org/articles/10.3389/fpsyg.2022.828956/full</t>
  </si>
  <si>
    <t>Hinweis "The raw data supporting the conclusions of this article will be made available by the authors, without undue reservation", aber keine Daten auffindbar</t>
  </si>
  <si>
    <t xml:space="preserve">Brañas-Garza, Pablo &amp; Ciacci, Riccardo &amp; Ramírez, Ericka. (2022). Anchors matter: Eliciting maternal expectations on educational outcomes. Journal of Economic Psychology. 90. doi: 102510. 10.1016/j.joep.2022.102510. </t>
  </si>
  <si>
    <t>https://www.sciencedirect.com/science/article/abs/pii/S0167487022000289</t>
  </si>
  <si>
    <t xml:space="preserve">Leib, Margarita &amp; Kee, Karin &amp; Loschelder, David &amp; Roskes, Marieke. (2022). Perspective taking does not moderate the price precision effect, but indirectly affects counteroffers to asking prices. Journal of Experimental Social Psychology. 101. 104323. 10.1016/j.jesp.2022.104323. </t>
  </si>
  <si>
    <t>https://www.sciencedirect.com/science/article/pii/S0022103122000427?via%3Dihub</t>
  </si>
  <si>
    <t>McShane, B. B., Böckenholt, U., &amp; Hansen, K. T. (2022). Variation and Covariation in Large-scale Replication Projects: An Evaluation of Replicability. Journal of the American Statistical Association, 1–17. https://doi.org/10.1080/01621459.2022.2054816</t>
  </si>
  <si>
    <t>https://www.tandfonline.com/doi/full/10.1080/01621459.2022.2054816)</t>
  </si>
  <si>
    <t>Klein, R. A., Ratliff, K. A., Vianello, M., Adams, R. B., Bahník, Š., Bernstein, M. J., Bocian, K., Brandt, M. J., Brooks, B., Brumbaugh, C. C., Cemalcilar, Z., Chandler, J., Cheong, W., Davis, W. E., Devos, T., Eisner, M., Frankowska, N., Furrow, D., Galliani, E. M., . . . Nosek, B. A. (2014). Investigating Variation in Replicability. Social Psychology, 45(3), 142–152. https://doi.org/10.1027/1864-9335/a000178</t>
  </si>
  <si>
    <t>https://osf.io/ydpbf/</t>
  </si>
  <si>
    <t xml:space="preserve">Ziano, I. &amp; Villanova, D. (2022). Spontaneous Anchors Bias Consumers’ Divisions, Judgments, and Behavior. Journal of Economic Psychology. 92. 102534. 10.1016/j.joep.2022.102534. </t>
  </si>
  <si>
    <t>https://www.researchgate.net/publication/360855205_Spontaneous_Anchors_Bias_Consumers'_Divisions_Judgments_and_Behavior</t>
  </si>
  <si>
    <t>https://osf.io/v64w5/?view_only=b97f3ca6b46744609a85f30370483479</t>
  </si>
  <si>
    <t xml:space="preserve">7 experiments, just several meet inclusion criteria </t>
  </si>
  <si>
    <t xml:space="preserve">Todd J. Thorsteinson &amp; Mable E. Clark (2022): Effects of explanations and precise anchors on salary offers, The Journal of Social Psychology, DOI: 10.1080/00224545.2022.2081527 </t>
  </si>
  <si>
    <t>https://www.tandfonline.com/doi/full/10.1080/00224545.2022.2081527#:~:text=Study%201%20found%20that%20precise,counteroffers%20compared%20to%20round%20offers.</t>
  </si>
  <si>
    <t xml:space="preserve">https://doi.org/10.17605/OSF. IO/W98DX. </t>
  </si>
  <si>
    <t xml:space="preserve">It says that data are available but if you click link you can't access them </t>
  </si>
  <si>
    <t xml:space="preserve">Chui, Peter &amp; Fong, Lawrence &amp; Ren, Jinjuan &amp; Tam, Lewis. (2022). Anchoring Effects in Repeated Auctions of Homogeneous Objects: Evidence from Macao. Journal of Economic Psychology. 90. 102514. 10.1016/j.joep.2022.102514. </t>
  </si>
  <si>
    <t>https://www.researchgate.net/publication/359422631_Anchoring_Effects_in_Repeated_Auctions_of_Homogeneous_Objects_Evidence_from_Macao</t>
  </si>
  <si>
    <t>Welsh, M. (2021). Does Anything Predict Anchoring Bias? Presentation at CogSci  2021 Conference at Vienna.</t>
  </si>
  <si>
    <t>https://www.researchgate.net/publication/357256296_Does_Anything_Predict_Anchoring_Bias</t>
  </si>
  <si>
    <t xml:space="preserve">No data available </t>
  </si>
  <si>
    <t>Ambrus, E.Z., Hartig, B., &amp; McKay, R. (2021) Self-serving anchoring of self-judgments. [Unpublished data]. Royal Holloway University of London.</t>
  </si>
  <si>
    <t>Sobkow, A., Surowski, M., Olszewska, A., Antoniewska, N., Bartkiewicz, U., Brzeska, A., … Traczyk, J. (2021, August 3). Conceptual replication study of fifteen JDM effects: Insights from the Polish sample. https://doi.org/10.31234/osf.io/5fc6z</t>
  </si>
  <si>
    <t>https://doi.org/10.31234/osf.io/5fc6z</t>
  </si>
  <si>
    <t>https://osf.io/7nk2a</t>
  </si>
  <si>
    <t>1 = literature search,</t>
  </si>
  <si>
    <t xml:space="preserve"> 2 = file drawer</t>
  </si>
  <si>
    <t>3 = direct communication</t>
  </si>
  <si>
    <t xml:space="preserve"> 4 = Call for data</t>
  </si>
  <si>
    <t>5 = other</t>
  </si>
  <si>
    <t>6 = literature alerts "anchoring effect"</t>
  </si>
  <si>
    <t>Aufgabe</t>
  </si>
  <si>
    <t>Beschreibung</t>
  </si>
  <si>
    <t>Spalte Reference: APA Zitation einfügen inklusive DOI [bei Source = 2 im OpAQ unter "References" mit Strg+F suchen]</t>
  </si>
  <si>
    <t>done</t>
  </si>
  <si>
    <t>Artikel herunterladen und in Teams Ordner ("Literatur (neu und unverpackt)") ablegen (Namenskonvention grob einhalten)</t>
  </si>
  <si>
    <t>Variablen kodieren: Article accessible, dataset link, Data accessible, meets inclusion criteria</t>
  </si>
  <si>
    <t xml:space="preserve">done </t>
  </si>
  <si>
    <r>
      <t>Auf Duplikate achten: Wenn eine Quelle mehrmals eingetragen ist, das bitte kennzeichnen (zB Schriftfarbe beider Quellen</t>
    </r>
    <r>
      <rPr>
        <sz val="11"/>
        <color rgb="FF7030A0"/>
        <rFont val="Calibri (Textkörper)"/>
      </rPr>
      <t xml:space="preserve"> lila </t>
    </r>
    <r>
      <rPr>
        <sz val="11"/>
        <color theme="1"/>
        <rFont val="Calibri"/>
        <family val="2"/>
        <scheme val="minor"/>
      </rPr>
      <t>machen)</t>
    </r>
  </si>
  <si>
    <t>Farbe</t>
  </si>
  <si>
    <t>Bedeutung</t>
  </si>
  <si>
    <t>bitte eintragen</t>
  </si>
  <si>
    <t>optional</t>
  </si>
  <si>
    <t>bitte nichts ändern</t>
  </si>
  <si>
    <t>das hat Lukas für sich selbst markiert</t>
  </si>
  <si>
    <t xml:space="preserve">Doppelte Studien </t>
  </si>
  <si>
    <t xml:space="preserve">to do </t>
  </si>
  <si>
    <t xml:space="preserve">Studien von Lukas, die jetzt vielleicht publiziert wurden </t>
  </si>
  <si>
    <t>Bahnik, S; Strack, F</t>
  </si>
  <si>
    <t>Schindler S; Querengässer J; Bruchmann M; Bögemann NJ; Moeck R; Straube T</t>
  </si>
  <si>
    <r>
      <t>Bergman, O., Ellingsen, T., Johannesson, M., &amp; Svensson, C. (2010). Anchoring and cognitive ability. </t>
    </r>
    <r>
      <rPr>
        <i/>
        <sz val="8"/>
        <color rgb="FF222222"/>
        <rFont val="Arial"/>
        <family val="2"/>
      </rPr>
      <t>Economics Letters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107</t>
    </r>
    <r>
      <rPr>
        <sz val="8"/>
        <color rgb="FF222222"/>
        <rFont val="Arial"/>
        <family val="2"/>
      </rPr>
      <t>(1), 66-68.</t>
    </r>
  </si>
  <si>
    <t>Klamar, A. &amp; Hovarth, D.</t>
  </si>
  <si>
    <t xml:space="preserve"> 2 = file drawer, </t>
  </si>
  <si>
    <t>3 = direct communication,</t>
  </si>
  <si>
    <t xml:space="preserve"> 4 = Call for data, </t>
  </si>
  <si>
    <t xml:space="preserve">5 = other, </t>
  </si>
  <si>
    <t>Grün = alles "normal" ausgefüllt</t>
  </si>
  <si>
    <t>Orange = Anmerkungen (siehe Kommentarspalte)</t>
  </si>
  <si>
    <t>Rot = Probleme bei Zugriff (siehe Kommentarspalte)</t>
  </si>
  <si>
    <t>Lila= Doppelungen (Eine Version ist komplett ausgefüllt und grün markiert, alle nun folgenden Doppelungen sind lila)</t>
  </si>
  <si>
    <t>Data meets inclusion criterion (at least 2 anchors + subsequent numeric estimates) 
1 = yes, 0 = no</t>
  </si>
  <si>
    <t>date the data was added</t>
  </si>
  <si>
    <t>dataset is pending addition</t>
  </si>
  <si>
    <t>dataset is already listed as Klein et al. 2014</t>
  </si>
  <si>
    <t>Dissertation, no e-mail address found</t>
  </si>
  <si>
    <t>secondary data</t>
  </si>
  <si>
    <t>Caverni already emeritus, coauthor not found</t>
  </si>
  <si>
    <t>article not found</t>
  </si>
  <si>
    <t>e-mail address may be at Framhingham state university website but we could not access the website</t>
  </si>
  <si>
    <t>author not found (article appeard in japanese journal in 1998)</t>
  </si>
  <si>
    <t>no e-mail address found</t>
  </si>
  <si>
    <t>article only available in Japanese</t>
  </si>
  <si>
    <t>manuscript in preparation</t>
  </si>
  <si>
    <t>Hsiao, H.-J., Lee, J.-W. (n.d.). The roles of number of anchors and anchor-consistency in anchoring effects.</t>
  </si>
  <si>
    <t>Anchoring effects when knowledge of the target is scarce: A comparison of a semantic model and a numerical model. Anchoring effects when knowledge of the target is scarce: A comparison of a semantic model and a numerical model.</t>
  </si>
  <si>
    <t>Sugimoto, T., Takano, Y. (2011). Anchoring effects when knowledge of the target is scarce: A comparison of a semantic model and a numerical model. Anchoring effects when knowledge of the target is scarce: A comparison of a semantic model and a numerical model. Cognitive Psychology Research 8(2), 145-151. https://doi.org/10.5265/jcogpsy.8.145</t>
  </si>
  <si>
    <t>Zhou, L.-Q., Lu, J.-Y., Lu, Y. (n.d.). The influence of anchoring effect on duration estimation of real-life events.</t>
  </si>
  <si>
    <t>Röseler, L. (2017). Viang und wenurz. [mong and fort] [Unpublished data]. Harz University of Applied Sciences. Retrieved from osf.io/apgfw</t>
  </si>
  <si>
    <t>Papenmeier, F. (2021). [Unpublished raw data collected within the course Experimentalpsychologisches Praktikum 1 (group 2)]. University of Tübingen.</t>
  </si>
  <si>
    <t>Papenmeier, F., &amp; Rebholz, T. R. (2021). [Unpublished raw data]. University of Tübingen.</t>
  </si>
  <si>
    <t>Papenmeier, F., Intelmann, P., &amp; Wolf, H. (2021). [Unpublished raw data collected within the course Experimentalpsychologisches Praktikum 1 (group 1)]. University of Tübingen.</t>
  </si>
  <si>
    <t>Papenmeier, F., Panse, F., &amp; Schreiner, N. B. (2021). [Unpublished raw data collected within the course Experimentalpsychologisches Praktikum 1 (group 9)]. University of Tübingen.</t>
  </si>
  <si>
    <t>Röseler, L., Bögler, H. L., Koßmann, L., Krueger, S., Bickenbach, S., Bühler, R., … Sing, J. (2022, April 13). Replicating Epley and Gilovich: Need for Cognition, Cognitive Load, and Forewarning do not Moderate Anchoring Effects. https://doi.org/10.31234/osf.io/bgp3m</t>
  </si>
  <si>
    <r>
      <t>Fränken, J. P., Theodoropoulos, N. C., &amp; Bramley, N. R. (2022). Algorithms of adaptation in inductive inference. </t>
    </r>
    <r>
      <rPr>
        <i/>
        <sz val="8"/>
        <color rgb="FF222222"/>
        <rFont val="Arial"/>
        <family val="2"/>
      </rPr>
      <t>Cognitive Psychology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137</t>
    </r>
    <r>
      <rPr>
        <sz val="8"/>
        <color rgb="FF222222"/>
        <rFont val="Arial"/>
        <family val="2"/>
      </rPr>
      <t>, 101506. https://doi.org/10.1016/j.cogpsych.2022.101506</t>
    </r>
  </si>
  <si>
    <r>
      <t>Navarre, A., Didierjean, A., &amp; Thomas, C. (2022). Anchoring effect induces false memories. </t>
    </r>
    <r>
      <rPr>
        <i/>
        <sz val="8"/>
        <color rgb="FF222222"/>
        <rFont val="Arial"/>
        <family val="2"/>
      </rPr>
      <t>Psychonomic Bulletin &amp; Review</t>
    </r>
    <r>
      <rPr>
        <sz val="8"/>
        <color rgb="FF222222"/>
        <rFont val="Arial"/>
        <family val="2"/>
      </rPr>
      <t>, 1-7. https://doi.org/10.3758/s13423-022-02147-4</t>
    </r>
  </si>
  <si>
    <t>Spicer, J., Zhu, J. Q., Chater, N., &amp; Sanborn, A. N. Perceptual and Cognitive Judgments Show Both Anchoring and Repulsion. Psychological Science. https://doi.org/10.1177/09567976221089599</t>
  </si>
  <si>
    <t>pending check for eligiblity</t>
  </si>
  <si>
    <t>Tomczak, P. (2018). Cross-modal anchoring: magnitude priming based on length leads to contrast effect in numerosity judgment. Polish Psychological Bulletin, 49(4). https://doi.org/10.24425/119508</t>
  </si>
  <si>
    <t>Oppenheimer, D. M., LeBoeuf, R. A., &amp; Brewer, N. T. (2008). Anchors aweigh: A demonstration of cross-modality anchoring and magnitude priming. Cognition, 106(1), 13-26. https://doi.org/10.1016/j.cognition.2006.12.008</t>
  </si>
  <si>
    <t>Tomczak, P., &amp; Korotusz, P. (2017). Efekt zakotwiczenia za pomocą przedmiotów nacechowanych w wymiarach wagi i wartości. Psychologia Ekonomiczna-wydawnictwo archiwalne, (10), 15-23. https://psychologia-ekonomiczna.uek.krakow.pl/article/view/1321/977</t>
  </si>
  <si>
    <r>
      <t>Tomczak, P., &amp; Traczyk, J. (2017). The mechanism of non-numerical anchoring heuristic based on magnitude priming: is it just the basic anchoring effect in disguise?. </t>
    </r>
    <r>
      <rPr>
        <i/>
        <sz val="8"/>
        <color rgb="FF222222"/>
        <rFont val="Arial"/>
        <family val="2"/>
      </rPr>
      <t>Polish Psychological Bulletin</t>
    </r>
    <r>
      <rPr>
        <sz val="8"/>
        <color rgb="FF222222"/>
        <rFont val="Arial"/>
        <family val="2"/>
      </rPr>
      <t>. Doi: 10.1515/ppb-2017-0046</t>
    </r>
  </si>
  <si>
    <t>McKay, R., Allen, E., Pearton, J., Rostekova, A., Ambrus, E. &amp; Hartig, B. (2022). Unpublished anchoring data.</t>
  </si>
  <si>
    <t>Lee, K., Woo, H. G., Cho, W., &amp; De Jong, S. (2022, January). When Can AI Reduce Individuals’ Anchoring Bias and Enhance Decision Accuracy? Evidence from Multiple Longitudinal Experiments. In Proceedings of the 55th Hawaii International Conference on System Sciences.</t>
  </si>
  <si>
    <t>dataset is pending addition; data has not yet been collected</t>
  </si>
  <si>
    <r>
      <t>Eskinazi, N., Malul, M., Rosenboim, M., &amp; Shavit, T. Do you still trust me? An experimental study on the effect of uncertainty, complexity and anchors in a trust game. </t>
    </r>
    <r>
      <rPr>
        <i/>
        <sz val="8"/>
        <color rgb="FF222222"/>
        <rFont val="Arial"/>
        <family val="2"/>
      </rPr>
      <t>Managerial and Decision Economics</t>
    </r>
    <r>
      <rPr>
        <sz val="8"/>
        <color rgb="FF222222"/>
        <rFont val="Arial"/>
        <family val="2"/>
      </rPr>
      <t>. https://doi.org/10.1002/mde.3720</t>
    </r>
  </si>
  <si>
    <t>Maaravi, Y., &amp; Segal, S. (2022). Reconsider what your MBA negotiation course taught you: The possible adverse effects of high salary requests. Journal of Vocational Behavior, 139, 103803. https://doi.org/10.1016/j.jvb.2022.103803</t>
  </si>
  <si>
    <t>Yasseri, T., &amp; Reher, J. (2022). Fooled by facts: quantifying anchoring bias through a large-scale experiment. Journal of Computational Social Science, 5(1), 1001–1021. https://doi.org/10.1007/s42001-021-00158-0</t>
  </si>
  <si>
    <t>Kakinohana, R. K., Pilati, R., &amp; Klein, R. A. (2022). Does anchoring vary across cultures? Expanding the Many Labs analysis. European Journal of Social Psychology, Article ejsp.2924. Advance online publication. https://doi.org/10.1002/ejsp.2924</t>
  </si>
  <si>
    <t>Lin, H.-H., Chen, P.-H., &amp; Wu, C.-L. (2022). Exploring the price anchoring effect in mobile commerce: An experimental study. Managerial and Decision Economics, Article mde.3769. Advance online publication. https://doi.org/10.1002/mde.3769</t>
  </si>
  <si>
    <t>Petrowsky, H. M., Schweinsberg, M., Seitz, L., Funk, B., &amp; Loschelder, D. D. (2023). Deal or no deal? How round vs precise percentage offers and price-ending mimicry affect impasse risk in over 25 million eBay negotiations. Journal of Economic Psychology, 94, 102584. https://doi.org/10.1016/j.joep.2022.102584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</si>
</sst>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sz val="8"/>
      <name val="Open Sans"/>
      <family val="2"/>
    </font>
    <font>
      <sz val="10"/>
      <color rgb="FF000000"/>
      <name val="Calibri"/>
      <family val="2"/>
      <scheme val="minor"/>
    </font>
    <font>
      <sz val="11"/>
      <color rgb="FF7030A0"/>
      <name val="Calibri (Textkörper)"/>
    </font>
    <font>
      <sz val="12"/>
      <color theme="1"/>
      <name val="Arial"/>
      <family val="2"/>
    </font>
    <font>
      <sz val="12"/>
      <color theme="1"/>
      <name val="AdvOT596495f2"/>
    </font>
    <font>
      <u/>
      <sz val="12"/>
      <color theme="10"/>
      <name val="Calibri"/>
      <family val="2"/>
      <scheme val="minor"/>
    </font>
    <font>
      <sz val="12"/>
      <color rgb="FF444444"/>
      <name val="Calibri"/>
      <family val="2"/>
      <charset val="1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9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92D05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2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E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4"/>
        <bgColor indexed="64"/>
      </patternFill>
    </fill>
    <fill>
      <patternFill patternType="solid">
        <fgColor rgb="FFCE30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4" fillId="4" borderId="1" xfId="0" applyFont="1" applyFill="1" applyBorder="1"/>
    <xf numFmtId="0" fontId="4" fillId="4" borderId="2" xfId="0" applyFont="1" applyFill="1" applyBorder="1"/>
    <xf numFmtId="0" fontId="5" fillId="4" borderId="2" xfId="1" applyFont="1" applyFill="1" applyBorder="1" applyAlignment="1"/>
    <xf numFmtId="0" fontId="4" fillId="4" borderId="3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5" fillId="0" borderId="2" xfId="1" applyFont="1" applyBorder="1" applyAlignment="1"/>
    <xf numFmtId="0" fontId="4" fillId="0" borderId="3" xfId="0" applyFont="1" applyBorder="1"/>
    <xf numFmtId="0" fontId="7" fillId="0" borderId="2" xfId="0" applyFont="1" applyBorder="1"/>
    <xf numFmtId="0" fontId="7" fillId="4" borderId="2" xfId="0" applyFont="1" applyFill="1" applyBorder="1"/>
    <xf numFmtId="14" fontId="4" fillId="0" borderId="3" xfId="0" applyNumberFormat="1" applyFont="1" applyBorder="1"/>
    <xf numFmtId="0" fontId="10" fillId="4" borderId="2" xfId="0" applyFont="1" applyFill="1" applyBorder="1"/>
    <xf numFmtId="14" fontId="4" fillId="4" borderId="3" xfId="0" applyNumberFormat="1" applyFont="1" applyFill="1" applyBorder="1"/>
    <xf numFmtId="0" fontId="2" fillId="0" borderId="2" xfId="0" applyFont="1" applyBorder="1"/>
    <xf numFmtId="0" fontId="11" fillId="0" borderId="2" xfId="0" applyFont="1" applyBorder="1"/>
    <xf numFmtId="0" fontId="3" fillId="4" borderId="2" xfId="1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/>
    <xf numFmtId="0" fontId="0" fillId="11" borderId="0" xfId="0" applyFill="1" applyAlignment="1">
      <alignment horizontal="center"/>
    </xf>
    <xf numFmtId="0" fontId="3" fillId="0" borderId="0" xfId="1"/>
    <xf numFmtId="0" fontId="0" fillId="12" borderId="0" xfId="0" applyFill="1" applyAlignment="1">
      <alignment horizontal="center"/>
    </xf>
    <xf numFmtId="0" fontId="13" fillId="0" borderId="0" xfId="0" applyFont="1"/>
    <xf numFmtId="0" fontId="13" fillId="0" borderId="0" xfId="1" applyFont="1" applyAlignment="1"/>
    <xf numFmtId="0" fontId="13" fillId="0" borderId="0" xfId="0" applyFont="1" applyAlignment="1">
      <alignment horizontal="left"/>
    </xf>
    <xf numFmtId="0" fontId="13" fillId="3" borderId="0" xfId="0" applyFont="1" applyFill="1"/>
    <xf numFmtId="0" fontId="13" fillId="0" borderId="0" xfId="1" applyFont="1" applyFill="1" applyAlignment="1"/>
    <xf numFmtId="0" fontId="13" fillId="2" borderId="0" xfId="1" applyFont="1" applyFill="1" applyAlignment="1">
      <alignment horizontal="left" vertical="top"/>
    </xf>
    <xf numFmtId="0" fontId="13" fillId="2" borderId="0" xfId="1" applyFont="1" applyFill="1" applyAlignment="1">
      <alignment horizontal="right" vertical="top"/>
    </xf>
    <xf numFmtId="0" fontId="13" fillId="10" borderId="4" xfId="0" applyFont="1" applyFill="1" applyBorder="1"/>
    <xf numFmtId="0" fontId="14" fillId="0" borderId="0" xfId="0" applyFont="1"/>
    <xf numFmtId="0" fontId="13" fillId="0" borderId="0" xfId="1" applyFont="1"/>
    <xf numFmtId="0" fontId="15" fillId="0" borderId="0" xfId="1" applyFont="1"/>
    <xf numFmtId="14" fontId="13" fillId="0" borderId="0" xfId="0" applyNumberFormat="1" applyFont="1"/>
    <xf numFmtId="14" fontId="13" fillId="3" borderId="0" xfId="0" applyNumberFormat="1" applyFont="1" applyFill="1"/>
    <xf numFmtId="0" fontId="16" fillId="0" borderId="0" xfId="0" applyFont="1"/>
    <xf numFmtId="0" fontId="15" fillId="0" borderId="0" xfId="2" applyFont="1" applyAlignme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1" applyFont="1" applyAlignment="1"/>
    <xf numFmtId="0" fontId="17" fillId="13" borderId="0" xfId="0" applyFont="1" applyFill="1" applyAlignment="1">
      <alignment wrapText="1"/>
    </xf>
    <xf numFmtId="0" fontId="18" fillId="13" borderId="0" xfId="0" applyFont="1" applyFill="1" applyAlignment="1">
      <alignment wrapText="1"/>
    </xf>
    <xf numFmtId="0" fontId="17" fillId="14" borderId="0" xfId="0" applyFont="1" applyFill="1" applyAlignment="1">
      <alignment wrapText="1"/>
    </xf>
    <xf numFmtId="0" fontId="19" fillId="0" borderId="0" xfId="0" applyFont="1" applyAlignment="1">
      <alignment wrapText="1"/>
    </xf>
    <xf numFmtId="0" fontId="27" fillId="0" borderId="0" xfId="0" applyFont="1"/>
    <xf numFmtId="0" fontId="27" fillId="0" borderId="0" xfId="1" applyFont="1" applyAlignment="1"/>
    <xf numFmtId="0" fontId="27" fillId="15" borderId="0" xfId="0" applyFont="1" applyFill="1"/>
    <xf numFmtId="0" fontId="13" fillId="12" borderId="0" xfId="0" applyFont="1" applyFill="1"/>
    <xf numFmtId="0" fontId="13" fillId="15" borderId="0" xfId="0" applyFont="1" applyFill="1"/>
    <xf numFmtId="0" fontId="13" fillId="0" borderId="0" xfId="0" applyFont="1" applyAlignment="1"/>
  </cellXfs>
  <cellStyles count="3">
    <cellStyle name="Hyperlink" xfId="2" xr:uid="{00000000-0005-0000-0000-000000000000}"/>
    <cellStyle name="Link" xfId="1" builtinId="8"/>
    <cellStyle name="Standard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CE3013"/>
      <color rgb="FFEE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S241" totalsRowShown="0" headerRowDxfId="39" dataDxfId="38">
  <autoFilter ref="A1:S241" xr:uid="{00000000-0009-0000-0100-000001000000}"/>
  <sortState xmlns:xlrd2="http://schemas.microsoft.com/office/spreadsheetml/2017/richdata2" ref="A3:P159">
    <sortCondition ref="C2:C159"/>
  </sortState>
  <tableColumns count="19">
    <tableColumn id="1" xr3:uid="{00000000-0010-0000-0000-000001000000}" name="ID" dataDxfId="37" totalsRowDxfId="36"/>
    <tableColumn id="18" xr3:uid="{00000000-0010-0000-0000-000012000000}" name="Reference" dataDxfId="35" totalsRowDxfId="34"/>
    <tableColumn id="2" xr3:uid="{00000000-0010-0000-0000-000002000000}" name="Authors" dataDxfId="33" totalsRowDxfId="32"/>
    <tableColumn id="3" xr3:uid="{00000000-0010-0000-0000-000003000000}" name="Article Title" dataDxfId="31" totalsRowDxfId="30"/>
    <tableColumn id="4" xr3:uid="{00000000-0010-0000-0000-000004000000}" name="DOI" dataDxfId="29" totalsRowDxfId="28"/>
    <tableColumn id="5" xr3:uid="{00000000-0010-0000-0000-000005000000}" name="Link" dataDxfId="27" totalsRowDxfId="26"/>
    <tableColumn id="16" xr3:uid="{00000000-0010-0000-0000-000010000000}" name="Source_x000a_1 = literature search, 2 = file drawer, 3 = direct communication, 4 = Call for data, 5 = other, 6 = literature alerts &quot;anchoring effect&quot;" dataDxfId="25" totalsRowDxfId="24"/>
    <tableColumn id="6" xr3:uid="{00000000-0010-0000-0000-000006000000}" name="Article accessible?_x000a_1 = yes, 0 = no" dataDxfId="23" totalsRowDxfId="22"/>
    <tableColumn id="7" xr3:uid="{00000000-0010-0000-0000-000007000000}" name="Data openly accessible?_x000a_1 = yes, 0 = no" dataDxfId="21" totalsRowDxfId="20"/>
    <tableColumn id="8" xr3:uid="{00000000-0010-0000-0000-000008000000}" name="Dataset link 1" dataDxfId="19" totalsRowDxfId="18"/>
    <tableColumn id="15" xr3:uid="{00000000-0010-0000-0000-00000F000000}" name="Dataset link 2" dataDxfId="17" totalsRowDxfId="16"/>
    <tableColumn id="9" xr3:uid="{00000000-0010-0000-0000-000009000000}" name="Name in the dataset folder" dataDxfId="15" totalsRowDxfId="14"/>
    <tableColumn id="10" xr3:uid="{00000000-0010-0000-0000-00000A000000}" name="Corresponding Author's mail address if data is not available" dataDxfId="13" totalsRowDxfId="12"/>
    <tableColumn id="14" xr3:uid="{00000000-0010-0000-0000-00000E000000}" name="Data meets inclusion criterion (at least 2 anchors + subsequent numeric estimates) _x000a_1 = yes, 0 = no" dataDxfId="11" totalsRowDxfId="10"/>
    <tableColumn id="11" xr3:uid="{00000000-0010-0000-0000-00000B000000}" name="Data included in OpAQ_x000a_1 = yes, 0 = no" dataDxfId="9" totalsRowDxfId="8"/>
    <tableColumn id="12" xr3:uid="{00000000-0010-0000-0000-00000C000000}" name="Permission to make data public_x000a_1 = yes, 2 = data is already open, 0 = no" dataDxfId="7" totalsRowDxfId="6"/>
    <tableColumn id="13" xr3:uid="{00000000-0010-0000-0000-00000D000000}" name="notes" dataDxfId="5" totalsRowDxfId="4"/>
    <tableColumn id="17" xr3:uid="{00000000-0010-0000-0000-000011000000}" name="date the data was added" dataDxfId="3" totalsRowDxfId="2"/>
    <tableColumn id="19" xr3:uid="{00000000-0010-0000-0000-000013000000}" name="Anmerkungen Zugang zur Aufgabe Paulina 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epley@chicagobooth.edu" TargetMode="External"/><Relationship Id="rId21" Type="http://schemas.openxmlformats.org/officeDocument/2006/relationships/hyperlink" Target="https://osf.io/cbf3t/" TargetMode="External"/><Relationship Id="rId42" Type="http://schemas.openxmlformats.org/officeDocument/2006/relationships/hyperlink" Target="mailto:david.loschelder@leuphana.de" TargetMode="External"/><Relationship Id="rId47" Type="http://schemas.openxmlformats.org/officeDocument/2006/relationships/hyperlink" Target="https://osf.io/syvrm/" TargetMode="External"/><Relationship Id="rId63" Type="http://schemas.openxmlformats.org/officeDocument/2006/relationships/hyperlink" Target="https://www.sciencedirect.com/science/article/pii/S0167487013000834?via%3Dihub" TargetMode="External"/><Relationship Id="rId68" Type="http://schemas.openxmlformats.org/officeDocument/2006/relationships/hyperlink" Target="https://www.researchgate.net/publication/351376101_Combined_Anchoring_Prosecution_and_defense_claims_as_sequential_anchors_in_the_courtroom" TargetMode="External"/><Relationship Id="rId84" Type="http://schemas.openxmlformats.org/officeDocument/2006/relationships/hyperlink" Target="https://osf.io/nr5gx/" TargetMode="External"/><Relationship Id="rId89" Type="http://schemas.openxmlformats.org/officeDocument/2006/relationships/hyperlink" Target="https://osf.io/e5dqg/" TargetMode="External"/><Relationship Id="rId16" Type="http://schemas.openxmlformats.org/officeDocument/2006/relationships/hyperlink" Target="mailto:andrea.ceschi@univr.it" TargetMode="External"/><Relationship Id="rId11" Type="http://schemas.openxmlformats.org/officeDocument/2006/relationships/hyperlink" Target="mailto:ntb@unc.edu" TargetMode="External"/><Relationship Id="rId32" Type="http://schemas.openxmlformats.org/officeDocument/2006/relationships/hyperlink" Target="https://osf.io/ef8pk/" TargetMode="External"/><Relationship Id="rId37" Type="http://schemas.openxmlformats.org/officeDocument/2006/relationships/hyperlink" Target="https://osf.io/s9m63/?view_only=6695f67997754d379ad504a4cf8ca8d4" TargetMode="External"/><Relationship Id="rId53" Type="http://schemas.openxmlformats.org/officeDocument/2006/relationships/hyperlink" Target="https://www.omroepbrabant.nl/nieuws/1911782/studenten-wisselend-over-colleges-diederik-stapel-bij-fontys-ik-neem-het-met-een-korreltje-zout" TargetMode="External"/><Relationship Id="rId58" Type="http://schemas.openxmlformats.org/officeDocument/2006/relationships/hyperlink" Target="mailto:tmussweiler@london.edu" TargetMode="External"/><Relationship Id="rId74" Type="http://schemas.openxmlformats.org/officeDocument/2006/relationships/hyperlink" Target="https://psycnet.apa.org/doi/10.1027/1618-3169/a000534" TargetMode="External"/><Relationship Id="rId79" Type="http://schemas.openxmlformats.org/officeDocument/2006/relationships/hyperlink" Target="https://www.tandfonline.com/doi/full/10.1080/01621459.2022.2054816" TargetMode="External"/><Relationship Id="rId5" Type="http://schemas.openxmlformats.org/officeDocument/2006/relationships/hyperlink" Target="https://osf.io/fd4vm/" TargetMode="External"/><Relationship Id="rId90" Type="http://schemas.openxmlformats.org/officeDocument/2006/relationships/hyperlink" Target="https://www.researchgate.net/publication/357256296_Does_Anything_Predict_Anchoring_Bias" TargetMode="External"/><Relationship Id="rId22" Type="http://schemas.openxmlformats.org/officeDocument/2006/relationships/hyperlink" Target="https://osf.io/e37xk/" TargetMode="External"/><Relationship Id="rId27" Type="http://schemas.openxmlformats.org/officeDocument/2006/relationships/hyperlink" Target="mailto:epley@chicagobooth.edu" TargetMode="External"/><Relationship Id="rId43" Type="http://schemas.openxmlformats.org/officeDocument/2006/relationships/hyperlink" Target="https://drtoddmcelroyswebsite.com/contact-dr-todd-mcelroy/" TargetMode="External"/><Relationship Id="rId48" Type="http://schemas.openxmlformats.org/officeDocument/2006/relationships/hyperlink" Target="mailto:florian.rohmann@uni-tuebingen.de" TargetMode="External"/><Relationship Id="rId64" Type="http://schemas.openxmlformats.org/officeDocument/2006/relationships/hyperlink" Target="https://www.aeaweb.org/articles?id=10.1257/mic.4.2.131" TargetMode="External"/><Relationship Id="rId69" Type="http://schemas.openxmlformats.org/officeDocument/2006/relationships/hyperlink" Target="http://dx.doi.org/10.1016/j.jebo.2019.04.014" TargetMode="External"/><Relationship Id="rId8" Type="http://schemas.openxmlformats.org/officeDocument/2006/relationships/hyperlink" Target="mailto:galen@nwu.edu" TargetMode="External"/><Relationship Id="rId51" Type="http://schemas.openxmlformats.org/officeDocument/2006/relationships/hyperlink" Target="https://osf.io/8ynwu/" TargetMode="External"/><Relationship Id="rId72" Type="http://schemas.openxmlformats.org/officeDocument/2006/relationships/hyperlink" Target="https://psycnet.apa.org/doi/10.1016/j.obhdp.2015.05.004" TargetMode="External"/><Relationship Id="rId80" Type="http://schemas.openxmlformats.org/officeDocument/2006/relationships/hyperlink" Target="https://doi.org/10.1027/1864-9335/a000178" TargetMode="External"/><Relationship Id="rId85" Type="http://schemas.openxmlformats.org/officeDocument/2006/relationships/hyperlink" Target="https://osf.io/7e9tc/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https://osf.io/s94px/" TargetMode="External"/><Relationship Id="rId12" Type="http://schemas.openxmlformats.org/officeDocument/2006/relationships/hyperlink" Target="mailto:norman.brown@ualberta.ca" TargetMode="External"/><Relationship Id="rId17" Type="http://schemas.openxmlformats.org/officeDocument/2006/relationships/hyperlink" Target="mailto:gchapman@andrew.cmu.edu" TargetMode="External"/><Relationship Id="rId25" Type="http://schemas.openxmlformats.org/officeDocument/2006/relationships/hyperlink" Target="mailto:epley@chicagobooth.edu" TargetMode="External"/><Relationship Id="rId33" Type="http://schemas.openxmlformats.org/officeDocument/2006/relationships/hyperlink" Target="https://osf.io/jtx34/" TargetMode="External"/><Relationship Id="rId38" Type="http://schemas.openxmlformats.org/officeDocument/2006/relationships/hyperlink" Target="https://osf.io/6ekxd/" TargetMode="External"/><Relationship Id="rId46" Type="http://schemas.openxmlformats.org/officeDocument/2006/relationships/hyperlink" Target="mailto:pm.reitsma@psy.vu.nl" TargetMode="External"/><Relationship Id="rId59" Type="http://schemas.openxmlformats.org/officeDocument/2006/relationships/hyperlink" Target="https://doi.org/10.1080/09658211.2021.1919144" TargetMode="External"/><Relationship Id="rId67" Type="http://schemas.openxmlformats.org/officeDocument/2006/relationships/hyperlink" Target="https://digitalcommons.chapman.edu/esi_working_papers/337/" TargetMode="External"/><Relationship Id="rId20" Type="http://schemas.openxmlformats.org/officeDocument/2006/relationships/hyperlink" Target="mailto:bschwar1@swarthmore.edu" TargetMode="External"/><Relationship Id="rId41" Type="http://schemas.openxmlformats.org/officeDocument/2006/relationships/hyperlink" Target="https://osf.io/b8zft/" TargetMode="External"/><Relationship Id="rId54" Type="http://schemas.openxmlformats.org/officeDocument/2006/relationships/hyperlink" Target="mailto:whyte@rotman.utoronto.ca" TargetMode="External"/><Relationship Id="rId62" Type="http://schemas.openxmlformats.org/officeDocument/2006/relationships/hyperlink" Target="https://doi.org/10.1016/j.lmot.2015.11.002" TargetMode="External"/><Relationship Id="rId70" Type="http://schemas.openxmlformats.org/officeDocument/2006/relationships/hyperlink" Target="https://psycnet.apa.org/doi/10.1177/001316447003000211" TargetMode="External"/><Relationship Id="rId75" Type="http://schemas.openxmlformats.org/officeDocument/2006/relationships/hyperlink" Target="https://doi.org/10.1525/collabra.310" TargetMode="External"/><Relationship Id="rId83" Type="http://schemas.openxmlformats.org/officeDocument/2006/relationships/hyperlink" Target="https://osf.io/ft7uz/" TargetMode="External"/><Relationship Id="rId88" Type="http://schemas.openxmlformats.org/officeDocument/2006/relationships/hyperlink" Target="https://journals.sagepub.com/doi/suppl/10.1177/10776990211021800" TargetMode="External"/><Relationship Id="rId91" Type="http://schemas.openxmlformats.org/officeDocument/2006/relationships/hyperlink" Target="https://osf.io/7nk2a" TargetMode="External"/><Relationship Id="rId1" Type="http://schemas.openxmlformats.org/officeDocument/2006/relationships/hyperlink" Target="mailto:badame@ou.edu" TargetMode="External"/><Relationship Id="rId6" Type="http://schemas.openxmlformats.org/officeDocument/2006/relationships/hyperlink" Target="mailto:kbanai@research.haifa.ac.il" TargetMode="External"/><Relationship Id="rId15" Type="http://schemas.openxmlformats.org/officeDocument/2006/relationships/hyperlink" Target="mailto:dcervone@uic.edu" TargetMode="External"/><Relationship Id="rId23" Type="http://schemas.openxmlformats.org/officeDocument/2006/relationships/hyperlink" Target="https://osf.io/e2k8d/" TargetMode="External"/><Relationship Id="rId28" Type="http://schemas.openxmlformats.org/officeDocument/2006/relationships/hyperlink" Target="mailto:epley@chicagobooth.edu" TargetMode="External"/><Relationship Id="rId36" Type="http://schemas.openxmlformats.org/officeDocument/2006/relationships/hyperlink" Target="mailto:eva.jonas@plus.ac.at" TargetMode="External"/><Relationship Id="rId49" Type="http://schemas.openxmlformats.org/officeDocument/2006/relationships/hyperlink" Target="https://osf.io/r48wq/" TargetMode="External"/><Relationship Id="rId57" Type="http://schemas.openxmlformats.org/officeDocument/2006/relationships/hyperlink" Target="https://osf.io/ynxc7/?view_only=d3dee8120ee14793851a6db6545a3af7" TargetMode="External"/><Relationship Id="rId10" Type="http://schemas.openxmlformats.org/officeDocument/2006/relationships/hyperlink" Target="https://osf.io/nqg97/" TargetMode="External"/><Relationship Id="rId31" Type="http://schemas.openxmlformats.org/officeDocument/2006/relationships/hyperlink" Target="https://osf.io/dq48j/" TargetMode="External"/><Relationship Id="rId44" Type="http://schemas.openxmlformats.org/officeDocument/2006/relationships/hyperlink" Target="https://drtoddmcelroyswebsite.com/contact-dr-todd-mcelroy/" TargetMode="External"/><Relationship Id="rId52" Type="http://schemas.openxmlformats.org/officeDocument/2006/relationships/hyperlink" Target="https://www.researchgate.net/profile/Michelle-St-Amand-Johnson" TargetMode="External"/><Relationship Id="rId60" Type="http://schemas.openxmlformats.org/officeDocument/2006/relationships/hyperlink" Target="https://www.aeaweb.org/articles?id=10.1257/aer.104.1.277" TargetMode="External"/><Relationship Id="rId65" Type="http://schemas.openxmlformats.org/officeDocument/2006/relationships/hyperlink" Target="https://scholarship.law.vanderbilt.edu/cgi/viewcontent.cgi?article=1727&amp;context=faculty-publications" TargetMode="External"/><Relationship Id="rId73" Type="http://schemas.openxmlformats.org/officeDocument/2006/relationships/hyperlink" Target="https://psycnet.apa.org/doi/10.1037/npe0000153" TargetMode="External"/><Relationship Id="rId78" Type="http://schemas.openxmlformats.org/officeDocument/2006/relationships/hyperlink" Target="https://doi.org/10.1080/01621459.2022.2054816" TargetMode="External"/><Relationship Id="rId81" Type="http://schemas.openxmlformats.org/officeDocument/2006/relationships/hyperlink" Target="https://osf.io/9ngjm" TargetMode="External"/><Relationship Id="rId86" Type="http://schemas.openxmlformats.org/officeDocument/2006/relationships/hyperlink" Target="https://osf.io/96de2/" TargetMode="External"/><Relationship Id="rId94" Type="http://schemas.openxmlformats.org/officeDocument/2006/relationships/table" Target="../tables/table1.xml"/><Relationship Id="rId4" Type="http://schemas.openxmlformats.org/officeDocument/2006/relationships/hyperlink" Target="https://osf.io/byj4w/" TargetMode="External"/><Relationship Id="rId9" Type="http://schemas.openxmlformats.org/officeDocument/2006/relationships/hyperlink" Target="mailto:francesco.bogliacino@%20gmail.com" TargetMode="External"/><Relationship Id="rId13" Type="http://schemas.openxmlformats.org/officeDocument/2006/relationships/hyperlink" Target="mailto:sburton@uark.edu" TargetMode="External"/><Relationship Id="rId18" Type="http://schemas.openxmlformats.org/officeDocument/2006/relationships/hyperlink" Target="mailto:gchapman@andrew.cmu.edu" TargetMode="External"/><Relationship Id="rId39" Type="http://schemas.openxmlformats.org/officeDocument/2006/relationships/hyperlink" Target="https://osf.io/85apc/" TargetMode="External"/><Relationship Id="rId34" Type="http://schemas.openxmlformats.org/officeDocument/2006/relationships/hyperlink" Target="https://zenodo.org/record/2593735" TargetMode="External"/><Relationship Id="rId50" Type="http://schemas.openxmlformats.org/officeDocument/2006/relationships/hyperlink" Target="mailto:ulrich.schlattmann@mindthegap.org" TargetMode="External"/><Relationship Id="rId55" Type="http://schemas.openxmlformats.org/officeDocument/2006/relationships/hyperlink" Target="https://osf.io/u2x7j/?view_only=8de1c27063a347999c7be50bc2a1a2f5" TargetMode="External"/><Relationship Id="rId76" Type="http://schemas.openxmlformats.org/officeDocument/2006/relationships/hyperlink" Target="https://www.sciencedirect.com/science/article/abs/pii/S0167487022000319" TargetMode="External"/><Relationship Id="rId7" Type="http://schemas.openxmlformats.org/officeDocument/2006/relationships/hyperlink" Target="mailto:wegener.1@osu.edu" TargetMode="External"/><Relationship Id="rId71" Type="http://schemas.openxmlformats.org/officeDocument/2006/relationships/hyperlink" Target="http://dx.doi.org/10.4236/psych.2014.52014" TargetMode="External"/><Relationship Id="rId92" Type="http://schemas.openxmlformats.org/officeDocument/2006/relationships/hyperlink" Target="https://doi.org/10.5265/jcogpsy.8.145" TargetMode="External"/><Relationship Id="rId2" Type="http://schemas.openxmlformats.org/officeDocument/2006/relationships/hyperlink" Target="mailto:adavalri@ucmail.uc.edu" TargetMode="External"/><Relationship Id="rId29" Type="http://schemas.openxmlformats.org/officeDocument/2006/relationships/hyperlink" Target="https://osf.io/u867j/" TargetMode="External"/><Relationship Id="rId24" Type="http://schemas.openxmlformats.org/officeDocument/2006/relationships/hyperlink" Target="https://www.researchgate.net/profile/Katarina-Dudekova" TargetMode="External"/><Relationship Id="rId40" Type="http://schemas.openxmlformats.org/officeDocument/2006/relationships/hyperlink" Target="https://osf.io/8rbvz/files/" TargetMode="External"/><Relationship Id="rId45" Type="http://schemas.openxmlformats.org/officeDocument/2006/relationships/hyperlink" Target="mailto:ruediger.pohl@online.de" TargetMode="External"/><Relationship Id="rId66" Type="http://schemas.openxmlformats.org/officeDocument/2006/relationships/hyperlink" Target="https://www.researchgate.net/publication/357822191_Anchoring_effect_in_visual_information_processing_during_financial_decisions_An_eye-tracking_study" TargetMode="External"/><Relationship Id="rId87" Type="http://schemas.openxmlformats.org/officeDocument/2006/relationships/hyperlink" Target="https://www.openicpsr.org/openicpsr/project/112727/version/V1/view" TargetMode="External"/><Relationship Id="rId61" Type="http://schemas.openxmlformats.org/officeDocument/2006/relationships/hyperlink" Target="https://osf.io/e2byg/" TargetMode="External"/><Relationship Id="rId82" Type="http://schemas.openxmlformats.org/officeDocument/2006/relationships/hyperlink" Target="https://www.researchgate.net/publication/360855205_Spontaneous_Anchors_Bias_Consumers'_Divisions_Judgments_and_Behavior" TargetMode="External"/><Relationship Id="rId19" Type="http://schemas.openxmlformats.org/officeDocument/2006/relationships/hyperlink" Target="mailto:gchapman@andrew.cmu.edu" TargetMode="External"/><Relationship Id="rId14" Type="http://schemas.openxmlformats.org/officeDocument/2006/relationships/hyperlink" Target="mailto:bill_petrusic@carleton.ca" TargetMode="External"/><Relationship Id="rId30" Type="http://schemas.openxmlformats.org/officeDocument/2006/relationships/hyperlink" Target="https://osf.io/mqg7d/" TargetMode="External"/><Relationship Id="rId35" Type="http://schemas.openxmlformats.org/officeDocument/2006/relationships/hyperlink" Target="https://it.linkedin.com/in/dorina-hysenbelli-phd-45b7577a" TargetMode="External"/><Relationship Id="rId56" Type="http://schemas.openxmlformats.org/officeDocument/2006/relationships/hyperlink" Target="https://osf.io/je5at/?view_only=0efbc093a7154e7d8ce7cded9e430137" TargetMode="External"/><Relationship Id="rId77" Type="http://schemas.openxmlformats.org/officeDocument/2006/relationships/hyperlink" Target="https://www.frontiersin.org/articles/10.3389/fpsyg.2022.828956/ful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sf.io/6ekxd/" TargetMode="External"/><Relationship Id="rId13" Type="http://schemas.openxmlformats.org/officeDocument/2006/relationships/hyperlink" Target="https://osf.io/8ynwu/" TargetMode="External"/><Relationship Id="rId3" Type="http://schemas.openxmlformats.org/officeDocument/2006/relationships/hyperlink" Target="mailto:bschwar1@swarthmore.edu" TargetMode="External"/><Relationship Id="rId7" Type="http://schemas.openxmlformats.org/officeDocument/2006/relationships/hyperlink" Target="https://osf.io/jtx34/" TargetMode="External"/><Relationship Id="rId12" Type="http://schemas.openxmlformats.org/officeDocument/2006/relationships/hyperlink" Target="https://osf.io/r48wq/" TargetMode="External"/><Relationship Id="rId2" Type="http://schemas.openxmlformats.org/officeDocument/2006/relationships/hyperlink" Target="https://osf.io/fd4vm/" TargetMode="External"/><Relationship Id="rId1" Type="http://schemas.openxmlformats.org/officeDocument/2006/relationships/hyperlink" Target="https://osf.io/s94px/" TargetMode="External"/><Relationship Id="rId6" Type="http://schemas.openxmlformats.org/officeDocument/2006/relationships/hyperlink" Target="https://osf.io/ef8pk/" TargetMode="External"/><Relationship Id="rId11" Type="http://schemas.openxmlformats.org/officeDocument/2006/relationships/hyperlink" Target="https://osf.io/ynxc7/?view_only=d3dee8120ee14793851a6db6545a3af7" TargetMode="External"/><Relationship Id="rId5" Type="http://schemas.openxmlformats.org/officeDocument/2006/relationships/hyperlink" Target="https://osf.io/e2k8d/" TargetMode="External"/><Relationship Id="rId15" Type="http://schemas.openxmlformats.org/officeDocument/2006/relationships/hyperlink" Target="https://doi.org/10.1080/09658211.2021.1919144" TargetMode="External"/><Relationship Id="rId10" Type="http://schemas.openxmlformats.org/officeDocument/2006/relationships/hyperlink" Target="https://osf.io/8rbvz/files/" TargetMode="External"/><Relationship Id="rId4" Type="http://schemas.openxmlformats.org/officeDocument/2006/relationships/hyperlink" Target="https://osf.io/cbf3t/" TargetMode="External"/><Relationship Id="rId9" Type="http://schemas.openxmlformats.org/officeDocument/2006/relationships/hyperlink" Target="https://osf.io/85apc/" TargetMode="External"/><Relationship Id="rId14" Type="http://schemas.openxmlformats.org/officeDocument/2006/relationships/hyperlink" Target="https://osf.io/u2x7j/?view_only=8de1c27063a347999c7be50bc2a1a2f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T252"/>
  <sheetViews>
    <sheetView tabSelected="1" zoomScale="85" zoomScaleNormal="85" workbookViewId="0">
      <pane ySplit="1" topLeftCell="A234" activePane="bottomLeft" state="frozen"/>
      <selection pane="bottomLeft" activeCell="B243" sqref="A243:XFD243"/>
    </sheetView>
  </sheetViews>
  <sheetFormatPr baseColWidth="10" defaultColWidth="8.88671875" defaultRowHeight="15.6"/>
  <cols>
    <col min="1" max="1" width="9.109375" style="49" customWidth="1"/>
    <col min="2" max="2" width="24.77734375" style="49" customWidth="1"/>
    <col min="3" max="3" width="23" style="50" hidden="1" customWidth="1"/>
    <col min="4" max="4" width="43.109375" style="50" hidden="1" customWidth="1"/>
    <col min="5" max="5" width="6" style="50" hidden="1" customWidth="1"/>
    <col min="6" max="6" width="11.33203125" style="50" hidden="1" customWidth="1"/>
    <col min="7" max="7" width="26.77734375" style="50" customWidth="1"/>
    <col min="8" max="8" width="21.5546875" style="49" customWidth="1"/>
    <col min="9" max="9" width="14.33203125" style="49" customWidth="1"/>
    <col min="10" max="10" width="3.6640625" style="49" hidden="1" customWidth="1"/>
    <col min="11" max="11" width="7.44140625" style="49" hidden="1" customWidth="1"/>
    <col min="12" max="12" width="2.88671875" style="49" hidden="1" customWidth="1"/>
    <col min="13" max="13" width="2.109375" style="49" hidden="1" customWidth="1"/>
    <col min="14" max="14" width="16.44140625" style="49" customWidth="1"/>
    <col min="15" max="15" width="23.44140625" style="49" customWidth="1"/>
    <col min="16" max="16" width="0" style="49" hidden="1" customWidth="1"/>
    <col min="17" max="17" width="8.88671875" style="49"/>
    <col min="18" max="18" width="13.5546875" style="49" bestFit="1" customWidth="1"/>
    <col min="19" max="16384" width="8.88671875" style="49"/>
  </cols>
  <sheetData>
    <row r="1" spans="1:19" s="55" customFormat="1" ht="166.8" customHeight="1">
      <c r="A1" s="52" t="s">
        <v>0</v>
      </c>
      <c r="B1" s="52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1128</v>
      </c>
      <c r="O1" s="52" t="s">
        <v>13</v>
      </c>
      <c r="P1" s="52" t="s">
        <v>14</v>
      </c>
      <c r="Q1" s="52" t="s">
        <v>15</v>
      </c>
      <c r="R1" s="52" t="s">
        <v>1129</v>
      </c>
      <c r="S1" s="54" t="s">
        <v>16</v>
      </c>
    </row>
    <row r="2" spans="1:19" s="44" customFormat="1">
      <c r="A2" s="29">
        <v>1</v>
      </c>
      <c r="B2" s="29" t="s">
        <v>17</v>
      </c>
      <c r="C2" s="29" t="s">
        <v>18</v>
      </c>
      <c r="D2" s="29" t="s">
        <v>19</v>
      </c>
      <c r="E2" s="29" t="s">
        <v>20</v>
      </c>
      <c r="F2" s="30" t="s">
        <v>21</v>
      </c>
      <c r="G2" s="29">
        <v>1</v>
      </c>
      <c r="H2" s="29">
        <v>1</v>
      </c>
      <c r="I2" s="29">
        <v>0</v>
      </c>
      <c r="J2" s="29"/>
      <c r="K2" s="29"/>
      <c r="L2" s="29"/>
      <c r="M2" s="30" t="s">
        <v>22</v>
      </c>
      <c r="N2" s="30">
        <v>0</v>
      </c>
      <c r="O2" s="29">
        <v>0</v>
      </c>
      <c r="P2" s="29"/>
      <c r="Q2" s="29"/>
      <c r="R2" s="29"/>
      <c r="S2" s="29" t="s">
        <v>23</v>
      </c>
    </row>
    <row r="3" spans="1:19" s="45" customFormat="1">
      <c r="A3" s="29">
        <v>2</v>
      </c>
      <c r="B3" s="29" t="s">
        <v>24</v>
      </c>
      <c r="C3" s="29" t="s">
        <v>25</v>
      </c>
      <c r="D3" s="29" t="s">
        <v>26</v>
      </c>
      <c r="E3" s="29" t="s">
        <v>27</v>
      </c>
      <c r="F3" s="29" t="s">
        <v>28</v>
      </c>
      <c r="G3" s="29">
        <v>1</v>
      </c>
      <c r="H3" s="29">
        <v>1</v>
      </c>
      <c r="I3" s="29">
        <v>0</v>
      </c>
      <c r="J3" s="29"/>
      <c r="K3" s="29"/>
      <c r="L3" s="29"/>
      <c r="M3" s="30" t="s">
        <v>29</v>
      </c>
      <c r="N3" s="30">
        <v>0</v>
      </c>
      <c r="O3" s="29">
        <v>0</v>
      </c>
      <c r="P3" s="29"/>
      <c r="Q3" s="29"/>
      <c r="R3" s="29"/>
      <c r="S3" s="29"/>
    </row>
    <row r="4" spans="1:19" s="46" customFormat="1">
      <c r="A4" s="29">
        <v>3</v>
      </c>
      <c r="B4" s="29" t="s">
        <v>30</v>
      </c>
      <c r="C4" s="29" t="s">
        <v>31</v>
      </c>
      <c r="D4" s="29" t="s">
        <v>32</v>
      </c>
      <c r="E4" s="29"/>
      <c r="F4" s="29"/>
      <c r="G4" s="29">
        <v>1</v>
      </c>
      <c r="H4" s="29">
        <v>1</v>
      </c>
      <c r="I4" s="29">
        <v>0</v>
      </c>
      <c r="J4" s="29"/>
      <c r="K4" s="29"/>
      <c r="L4" s="29"/>
      <c r="M4" s="29"/>
      <c r="N4" s="29">
        <v>0</v>
      </c>
      <c r="O4" s="29">
        <v>0</v>
      </c>
      <c r="P4" s="29"/>
      <c r="Q4" s="29" t="s">
        <v>1132</v>
      </c>
      <c r="R4" s="29"/>
      <c r="S4" s="29" t="s">
        <v>33</v>
      </c>
    </row>
    <row r="5" spans="1:19" s="47" customFormat="1">
      <c r="A5" s="29">
        <v>4</v>
      </c>
      <c r="B5" s="29" t="s">
        <v>34</v>
      </c>
      <c r="C5" s="29" t="s">
        <v>35</v>
      </c>
      <c r="D5" s="29" t="s">
        <v>36</v>
      </c>
      <c r="E5" s="29" t="s">
        <v>37</v>
      </c>
      <c r="F5" s="29" t="s">
        <v>38</v>
      </c>
      <c r="G5" s="29">
        <v>1</v>
      </c>
      <c r="H5" s="29">
        <v>1</v>
      </c>
      <c r="I5" s="29">
        <v>1</v>
      </c>
      <c r="J5" s="30" t="s">
        <v>39</v>
      </c>
      <c r="K5" s="30"/>
      <c r="L5" s="29" t="s">
        <v>40</v>
      </c>
      <c r="M5" s="29"/>
      <c r="N5" s="29">
        <v>1</v>
      </c>
      <c r="O5" s="29">
        <v>1</v>
      </c>
      <c r="P5" s="29"/>
      <c r="Q5" s="29"/>
      <c r="R5" s="29" t="s">
        <v>41</v>
      </c>
      <c r="S5" s="29" t="s">
        <v>42</v>
      </c>
    </row>
    <row r="6" spans="1:19" s="46" customFormat="1">
      <c r="A6" s="29">
        <v>5</v>
      </c>
      <c r="B6" s="29" t="s">
        <v>43</v>
      </c>
      <c r="C6" s="29"/>
      <c r="D6" s="29" t="s">
        <v>44</v>
      </c>
      <c r="E6" s="29" t="s">
        <v>45</v>
      </c>
      <c r="F6" s="29" t="s">
        <v>46</v>
      </c>
      <c r="G6" s="29">
        <v>1</v>
      </c>
      <c r="H6" s="29">
        <v>1</v>
      </c>
      <c r="I6" s="29">
        <v>1</v>
      </c>
      <c r="J6" s="30" t="s">
        <v>47</v>
      </c>
      <c r="K6" s="30"/>
      <c r="L6" s="29" t="s">
        <v>48</v>
      </c>
      <c r="M6" s="29"/>
      <c r="N6" s="29">
        <v>0</v>
      </c>
      <c r="O6" s="29">
        <v>0</v>
      </c>
      <c r="P6" s="29"/>
      <c r="Q6" s="29"/>
      <c r="R6" s="29"/>
      <c r="S6" s="29" t="s">
        <v>33</v>
      </c>
    </row>
    <row r="7" spans="1:19" s="46" customFormat="1">
      <c r="A7" s="29">
        <v>6</v>
      </c>
      <c r="B7" s="29" t="s">
        <v>49</v>
      </c>
      <c r="C7" s="29"/>
      <c r="D7" s="29" t="s">
        <v>50</v>
      </c>
      <c r="E7" s="29" t="s">
        <v>45</v>
      </c>
      <c r="F7" s="29"/>
      <c r="G7" s="29">
        <v>1</v>
      </c>
      <c r="H7" s="29">
        <v>1</v>
      </c>
      <c r="I7" s="29">
        <v>1</v>
      </c>
      <c r="J7" s="30" t="s">
        <v>51</v>
      </c>
      <c r="K7" s="30"/>
      <c r="L7" s="29" t="s">
        <v>52</v>
      </c>
      <c r="M7" s="29"/>
      <c r="N7" s="29">
        <v>1</v>
      </c>
      <c r="O7" s="29">
        <v>1</v>
      </c>
      <c r="P7" s="29"/>
      <c r="Q7" s="29"/>
      <c r="R7" s="29" t="s">
        <v>41</v>
      </c>
      <c r="S7" s="29" t="s">
        <v>53</v>
      </c>
    </row>
    <row r="8" spans="1:19" s="46" customFormat="1">
      <c r="A8" s="29">
        <v>7</v>
      </c>
      <c r="B8" s="29" t="s">
        <v>54</v>
      </c>
      <c r="C8" s="29"/>
      <c r="D8" s="29" t="s">
        <v>55</v>
      </c>
      <c r="E8" s="29" t="s">
        <v>56</v>
      </c>
      <c r="F8" s="29" t="s">
        <v>57</v>
      </c>
      <c r="G8" s="29">
        <v>1</v>
      </c>
      <c r="H8" s="29">
        <v>1</v>
      </c>
      <c r="I8" s="29">
        <v>0</v>
      </c>
      <c r="J8" s="29"/>
      <c r="K8" s="29"/>
      <c r="L8" s="29"/>
      <c r="M8" s="30" t="s">
        <v>58</v>
      </c>
      <c r="N8" s="30">
        <v>0</v>
      </c>
      <c r="O8" s="29">
        <v>0</v>
      </c>
      <c r="P8" s="29"/>
      <c r="Q8" s="29"/>
      <c r="R8" s="29"/>
      <c r="S8" s="29"/>
    </row>
    <row r="9" spans="1:19" s="45" customFormat="1">
      <c r="A9" s="29">
        <v>8</v>
      </c>
      <c r="B9" s="29" t="s">
        <v>59</v>
      </c>
      <c r="C9" s="29" t="s">
        <v>60</v>
      </c>
      <c r="D9" s="29" t="s">
        <v>61</v>
      </c>
      <c r="E9" s="29"/>
      <c r="F9" s="29"/>
      <c r="G9" s="29">
        <v>1</v>
      </c>
      <c r="H9" s="29">
        <v>1</v>
      </c>
      <c r="I9" s="29">
        <v>0</v>
      </c>
      <c r="J9" s="29"/>
      <c r="K9" s="29"/>
      <c r="L9" s="29"/>
      <c r="M9" s="29"/>
      <c r="N9" s="29">
        <v>0</v>
      </c>
      <c r="O9" s="29">
        <v>0</v>
      </c>
      <c r="P9" s="29"/>
      <c r="Q9" s="29" t="s">
        <v>1132</v>
      </c>
      <c r="R9" s="29"/>
      <c r="S9" s="29" t="s">
        <v>62</v>
      </c>
    </row>
    <row r="10" spans="1:19" s="46" customFormat="1">
      <c r="A10" s="29">
        <v>9</v>
      </c>
      <c r="B10" s="29" t="s">
        <v>63</v>
      </c>
      <c r="C10" s="29" t="s">
        <v>64</v>
      </c>
      <c r="D10" s="29" t="s">
        <v>65</v>
      </c>
      <c r="E10" s="29" t="s">
        <v>66</v>
      </c>
      <c r="F10" s="29" t="s">
        <v>67</v>
      </c>
      <c r="G10" s="29">
        <v>1</v>
      </c>
      <c r="H10" s="29">
        <v>1</v>
      </c>
      <c r="I10" s="29">
        <v>0</v>
      </c>
      <c r="J10" s="29"/>
      <c r="K10" s="29"/>
      <c r="L10" s="29"/>
      <c r="M10" s="30" t="s">
        <v>68</v>
      </c>
      <c r="N10" s="30">
        <v>0</v>
      </c>
      <c r="O10" s="29">
        <v>0</v>
      </c>
      <c r="P10" s="29"/>
      <c r="Q10" s="29"/>
      <c r="R10" s="29"/>
      <c r="S10" s="31" t="s">
        <v>69</v>
      </c>
    </row>
    <row r="11" spans="1:19" s="46" customFormat="1">
      <c r="A11" s="29">
        <v>10</v>
      </c>
      <c r="B11" s="29" t="s">
        <v>70</v>
      </c>
      <c r="C11" s="29" t="s">
        <v>71</v>
      </c>
      <c r="D11" s="29" t="s">
        <v>72</v>
      </c>
      <c r="E11" s="29" t="s">
        <v>73</v>
      </c>
      <c r="F11" s="29" t="s">
        <v>74</v>
      </c>
      <c r="G11" s="29">
        <v>1</v>
      </c>
      <c r="H11" s="29">
        <v>1</v>
      </c>
      <c r="I11" s="29">
        <v>0</v>
      </c>
      <c r="J11" s="29"/>
      <c r="K11" s="29"/>
      <c r="L11" s="29"/>
      <c r="M11" s="30" t="s">
        <v>75</v>
      </c>
      <c r="N11" s="30">
        <v>0</v>
      </c>
      <c r="O11" s="29">
        <v>0</v>
      </c>
      <c r="P11" s="29"/>
      <c r="Q11" s="29"/>
      <c r="R11" s="29"/>
      <c r="S11" s="29" t="s">
        <v>69</v>
      </c>
    </row>
    <row r="12" spans="1:19" s="46" customFormat="1">
      <c r="A12" s="29">
        <v>11</v>
      </c>
      <c r="B12" s="29" t="s">
        <v>76</v>
      </c>
      <c r="C12" s="29" t="s">
        <v>77</v>
      </c>
      <c r="D12" s="29" t="s">
        <v>78</v>
      </c>
      <c r="E12" s="29"/>
      <c r="F12" s="29"/>
      <c r="G12" s="29">
        <v>1</v>
      </c>
      <c r="H12" s="29">
        <v>1</v>
      </c>
      <c r="I12" s="29">
        <v>0</v>
      </c>
      <c r="J12" s="29"/>
      <c r="K12" s="29"/>
      <c r="L12" s="29"/>
      <c r="M12" s="30" t="s">
        <v>79</v>
      </c>
      <c r="N12" s="30">
        <v>0</v>
      </c>
      <c r="O12" s="29">
        <v>0</v>
      </c>
      <c r="P12" s="29"/>
      <c r="Q12" s="29"/>
      <c r="R12" s="29"/>
      <c r="S12" s="29"/>
    </row>
    <row r="13" spans="1:19" s="48" customFormat="1">
      <c r="A13" s="29">
        <v>12</v>
      </c>
      <c r="B13" s="29" t="s">
        <v>80</v>
      </c>
      <c r="C13" s="32" t="s">
        <v>81</v>
      </c>
      <c r="D13" s="32" t="s">
        <v>82</v>
      </c>
      <c r="E13" s="32" t="s">
        <v>83</v>
      </c>
      <c r="F13" s="32" t="s">
        <v>84</v>
      </c>
      <c r="G13" s="29">
        <v>1</v>
      </c>
      <c r="H13" s="29">
        <v>1</v>
      </c>
      <c r="I13" s="29">
        <v>1</v>
      </c>
      <c r="J13" s="33" t="s">
        <v>85</v>
      </c>
      <c r="K13" s="33"/>
      <c r="L13" s="29" t="s">
        <v>86</v>
      </c>
      <c r="M13" s="29"/>
      <c r="N13" s="29">
        <v>0</v>
      </c>
      <c r="O13" s="29"/>
      <c r="P13" s="29"/>
      <c r="Q13" s="29" t="s">
        <v>1133</v>
      </c>
      <c r="R13" s="29"/>
      <c r="S13" s="29" t="s">
        <v>87</v>
      </c>
    </row>
    <row r="14" spans="1:19" s="46" customFormat="1">
      <c r="A14" s="29">
        <v>13</v>
      </c>
      <c r="B14" s="29" t="s">
        <v>88</v>
      </c>
      <c r="C14" s="29" t="s">
        <v>89</v>
      </c>
      <c r="D14" s="29" t="s">
        <v>90</v>
      </c>
      <c r="E14" s="29" t="s">
        <v>91</v>
      </c>
      <c r="F14" s="29" t="s">
        <v>92</v>
      </c>
      <c r="G14" s="29">
        <v>1</v>
      </c>
      <c r="H14" s="29">
        <v>1</v>
      </c>
      <c r="I14" s="29">
        <v>0</v>
      </c>
      <c r="J14" s="29"/>
      <c r="K14" s="29"/>
      <c r="L14" s="29"/>
      <c r="M14" s="30" t="s">
        <v>93</v>
      </c>
      <c r="N14" s="33">
        <v>0</v>
      </c>
      <c r="O14" s="29">
        <v>0</v>
      </c>
      <c r="P14" s="29"/>
      <c r="Q14" s="29"/>
      <c r="R14" s="29"/>
      <c r="S14" s="29"/>
    </row>
    <row r="15" spans="1:19" s="46" customFormat="1">
      <c r="A15" s="29">
        <v>14</v>
      </c>
      <c r="B15" s="29" t="s">
        <v>94</v>
      </c>
      <c r="C15" s="29" t="s">
        <v>95</v>
      </c>
      <c r="D15" s="29" t="s">
        <v>96</v>
      </c>
      <c r="E15" s="29" t="s">
        <v>97</v>
      </c>
      <c r="F15" s="29" t="s">
        <v>98</v>
      </c>
      <c r="G15" s="29">
        <v>1</v>
      </c>
      <c r="H15" s="29">
        <v>1</v>
      </c>
      <c r="I15" s="29">
        <v>0</v>
      </c>
      <c r="J15" s="29"/>
      <c r="K15" s="29"/>
      <c r="L15" s="29"/>
      <c r="M15" s="30" t="s">
        <v>99</v>
      </c>
      <c r="N15" s="30">
        <v>0</v>
      </c>
      <c r="O15" s="29">
        <v>0</v>
      </c>
      <c r="P15" s="29"/>
      <c r="Q15" s="29"/>
      <c r="R15" s="29"/>
      <c r="S15" s="29" t="s">
        <v>100</v>
      </c>
    </row>
    <row r="16" spans="1:19" s="46" customFormat="1">
      <c r="A16" s="29">
        <v>15</v>
      </c>
      <c r="B16" s="29" t="s">
        <v>101</v>
      </c>
      <c r="C16" s="29" t="s">
        <v>102</v>
      </c>
      <c r="D16" s="29" t="s">
        <v>103</v>
      </c>
      <c r="E16" s="29" t="s">
        <v>104</v>
      </c>
      <c r="F16" s="29" t="s">
        <v>105</v>
      </c>
      <c r="G16" s="29">
        <v>1</v>
      </c>
      <c r="H16" s="29">
        <v>1</v>
      </c>
      <c r="I16" s="29">
        <v>0</v>
      </c>
      <c r="J16" s="29"/>
      <c r="K16" s="29"/>
      <c r="L16" s="29"/>
      <c r="M16" s="30" t="s">
        <v>106</v>
      </c>
      <c r="N16" s="30">
        <v>0</v>
      </c>
      <c r="O16" s="29">
        <v>0</v>
      </c>
      <c r="P16" s="29"/>
      <c r="Q16" s="29"/>
      <c r="R16" s="29"/>
      <c r="S16" s="29"/>
    </row>
    <row r="17" spans="1:19" s="46" customFormat="1">
      <c r="A17" s="29">
        <v>16</v>
      </c>
      <c r="B17" s="29" t="s">
        <v>107</v>
      </c>
      <c r="C17" s="29" t="s">
        <v>108</v>
      </c>
      <c r="D17" s="29" t="s">
        <v>109</v>
      </c>
      <c r="E17" s="29" t="s">
        <v>110</v>
      </c>
      <c r="F17" s="29" t="s">
        <v>111</v>
      </c>
      <c r="G17" s="29">
        <v>1</v>
      </c>
      <c r="H17" s="29">
        <v>1</v>
      </c>
      <c r="I17" s="29">
        <v>0</v>
      </c>
      <c r="J17" s="29"/>
      <c r="K17" s="29"/>
      <c r="L17" s="29"/>
      <c r="M17" s="34" t="s">
        <v>112</v>
      </c>
      <c r="N17" s="35">
        <v>0</v>
      </c>
      <c r="O17" s="29">
        <v>0</v>
      </c>
      <c r="P17" s="29"/>
      <c r="Q17" s="29"/>
      <c r="R17" s="29"/>
      <c r="S17" s="29"/>
    </row>
    <row r="18" spans="1:19" s="45" customFormat="1">
      <c r="A18" s="29">
        <v>17</v>
      </c>
      <c r="B18" s="29" t="s">
        <v>113</v>
      </c>
      <c r="C18" s="29" t="s">
        <v>114</v>
      </c>
      <c r="D18" s="29" t="s">
        <v>115</v>
      </c>
      <c r="E18" s="29" t="s">
        <v>116</v>
      </c>
      <c r="F18" s="29" t="s">
        <v>117</v>
      </c>
      <c r="G18" s="29">
        <v>1</v>
      </c>
      <c r="H18" s="29">
        <v>1</v>
      </c>
      <c r="I18" s="29">
        <v>0</v>
      </c>
      <c r="J18" s="29"/>
      <c r="K18" s="29"/>
      <c r="L18" s="29"/>
      <c r="M18" s="29"/>
      <c r="N18" s="29">
        <v>0</v>
      </c>
      <c r="O18" s="29">
        <v>0</v>
      </c>
      <c r="P18" s="29"/>
      <c r="Q18" s="29" t="s">
        <v>1134</v>
      </c>
      <c r="R18" s="29"/>
      <c r="S18" s="29"/>
    </row>
    <row r="19" spans="1:19" s="46" customFormat="1">
      <c r="A19" s="29">
        <v>18</v>
      </c>
      <c r="B19" s="29" t="s">
        <v>118</v>
      </c>
      <c r="C19" s="29" t="s">
        <v>119</v>
      </c>
      <c r="D19" s="29" t="s">
        <v>120</v>
      </c>
      <c r="E19" s="29" t="s">
        <v>121</v>
      </c>
      <c r="F19" s="29" t="s">
        <v>122</v>
      </c>
      <c r="G19" s="29">
        <v>1</v>
      </c>
      <c r="H19" s="29">
        <v>1</v>
      </c>
      <c r="I19" s="29">
        <v>0</v>
      </c>
      <c r="J19" s="29"/>
      <c r="K19" s="29"/>
      <c r="L19" s="29"/>
      <c r="M19" s="30" t="s">
        <v>123</v>
      </c>
      <c r="N19" s="30">
        <v>0</v>
      </c>
      <c r="O19" s="29">
        <v>0</v>
      </c>
      <c r="P19" s="29"/>
      <c r="Q19" s="36"/>
      <c r="R19" s="29"/>
      <c r="S19" s="29"/>
    </row>
    <row r="20" spans="1:19" s="46" customFormat="1">
      <c r="A20" s="29">
        <v>19</v>
      </c>
      <c r="B20" s="29" t="s">
        <v>124</v>
      </c>
      <c r="C20" s="29" t="s">
        <v>125</v>
      </c>
      <c r="D20" s="29" t="s">
        <v>126</v>
      </c>
      <c r="E20" s="29" t="s">
        <v>127</v>
      </c>
      <c r="F20" s="29" t="s">
        <v>128</v>
      </c>
      <c r="G20" s="29">
        <v>1</v>
      </c>
      <c r="H20" s="29">
        <v>0</v>
      </c>
      <c r="I20" s="29">
        <v>0</v>
      </c>
      <c r="J20" s="29"/>
      <c r="K20" s="29"/>
      <c r="L20" s="29"/>
      <c r="M20" s="30" t="s">
        <v>129</v>
      </c>
      <c r="N20" s="30">
        <v>0</v>
      </c>
      <c r="O20" s="29">
        <v>0</v>
      </c>
      <c r="P20" s="29"/>
      <c r="Q20" s="36"/>
      <c r="R20" s="29"/>
      <c r="S20" s="29" t="s">
        <v>130</v>
      </c>
    </row>
    <row r="21" spans="1:19" s="46" customFormat="1">
      <c r="A21" s="29">
        <v>20</v>
      </c>
      <c r="B21" s="29" t="s">
        <v>131</v>
      </c>
      <c r="C21" s="29" t="s">
        <v>132</v>
      </c>
      <c r="D21" s="29" t="s">
        <v>133</v>
      </c>
      <c r="E21" s="29" t="s">
        <v>134</v>
      </c>
      <c r="F21" s="29" t="s">
        <v>135</v>
      </c>
      <c r="G21" s="29">
        <v>1</v>
      </c>
      <c r="H21" s="29">
        <v>0</v>
      </c>
      <c r="I21" s="29">
        <v>0</v>
      </c>
      <c r="J21" s="29"/>
      <c r="K21" s="29"/>
      <c r="L21" s="29"/>
      <c r="M21" s="30" t="s">
        <v>136</v>
      </c>
      <c r="N21" s="30">
        <v>0</v>
      </c>
      <c r="O21" s="29">
        <v>0</v>
      </c>
      <c r="P21" s="29"/>
      <c r="Q21" s="36"/>
      <c r="R21" s="29"/>
      <c r="S21" s="29" t="s">
        <v>130</v>
      </c>
    </row>
    <row r="22" spans="1:19" s="46" customFormat="1">
      <c r="A22" s="29">
        <v>21</v>
      </c>
      <c r="B22" s="29" t="s">
        <v>137</v>
      </c>
      <c r="C22" s="29" t="s">
        <v>138</v>
      </c>
      <c r="D22" s="29" t="s">
        <v>139</v>
      </c>
      <c r="E22" s="29" t="s">
        <v>140</v>
      </c>
      <c r="F22" s="29" t="s">
        <v>141</v>
      </c>
      <c r="G22" s="29">
        <v>1</v>
      </c>
      <c r="H22" s="29">
        <v>1</v>
      </c>
      <c r="I22" s="29">
        <v>0</v>
      </c>
      <c r="J22" s="29"/>
      <c r="K22" s="29"/>
      <c r="L22" s="29"/>
      <c r="M22" s="30" t="s">
        <v>136</v>
      </c>
      <c r="N22" s="30">
        <v>0</v>
      </c>
      <c r="O22" s="29">
        <v>0</v>
      </c>
      <c r="P22" s="29"/>
      <c r="Q22" s="29"/>
      <c r="R22" s="29"/>
      <c r="S22" s="29"/>
    </row>
    <row r="23" spans="1:19" s="46" customFormat="1">
      <c r="A23" s="29">
        <v>22</v>
      </c>
      <c r="B23" s="29" t="s">
        <v>142</v>
      </c>
      <c r="C23" s="29" t="s">
        <v>143</v>
      </c>
      <c r="D23" s="29" t="s">
        <v>144</v>
      </c>
      <c r="E23" s="29" t="s">
        <v>145</v>
      </c>
      <c r="F23" s="29" t="s">
        <v>146</v>
      </c>
      <c r="G23" s="29">
        <v>1</v>
      </c>
      <c r="H23" s="32">
        <v>1</v>
      </c>
      <c r="I23" s="29">
        <v>0</v>
      </c>
      <c r="J23" s="29"/>
      <c r="K23" s="29"/>
      <c r="L23" s="29"/>
      <c r="M23" s="30" t="s">
        <v>136</v>
      </c>
      <c r="N23" s="30">
        <v>0</v>
      </c>
      <c r="O23" s="29">
        <v>0</v>
      </c>
      <c r="P23" s="29"/>
      <c r="Q23" s="29"/>
      <c r="R23" s="29"/>
      <c r="S23" s="29"/>
    </row>
    <row r="24" spans="1:19" s="46" customFormat="1">
      <c r="A24" s="29">
        <v>23</v>
      </c>
      <c r="B24" s="29" t="s">
        <v>147</v>
      </c>
      <c r="C24" s="29" t="s">
        <v>148</v>
      </c>
      <c r="D24" s="29" t="s">
        <v>149</v>
      </c>
      <c r="E24" s="29" t="s">
        <v>45</v>
      </c>
      <c r="F24" s="29"/>
      <c r="G24" s="29">
        <v>1</v>
      </c>
      <c r="H24" s="29">
        <v>1</v>
      </c>
      <c r="I24" s="29">
        <v>0</v>
      </c>
      <c r="J24" s="29"/>
      <c r="K24" s="29"/>
      <c r="L24" s="29"/>
      <c r="M24" s="30" t="s">
        <v>150</v>
      </c>
      <c r="N24" s="30">
        <v>0</v>
      </c>
      <c r="O24" s="29">
        <v>1</v>
      </c>
      <c r="P24" s="29">
        <v>2</v>
      </c>
      <c r="Q24" s="29"/>
      <c r="R24" s="29" t="s">
        <v>41</v>
      </c>
      <c r="S24" s="29" t="s">
        <v>151</v>
      </c>
    </row>
    <row r="25" spans="1:19" s="46" customFormat="1">
      <c r="A25" s="29">
        <v>24</v>
      </c>
      <c r="B25" s="29" t="s">
        <v>152</v>
      </c>
      <c r="C25" s="29" t="s">
        <v>153</v>
      </c>
      <c r="D25" s="29" t="s">
        <v>154</v>
      </c>
      <c r="E25" s="29" t="s">
        <v>155</v>
      </c>
      <c r="F25" s="29" t="s">
        <v>156</v>
      </c>
      <c r="G25" s="29">
        <v>1</v>
      </c>
      <c r="H25" s="29">
        <v>1</v>
      </c>
      <c r="I25" s="29">
        <v>1</v>
      </c>
      <c r="J25" s="30" t="s">
        <v>157</v>
      </c>
      <c r="K25" s="30"/>
      <c r="L25" s="29" t="s">
        <v>158</v>
      </c>
      <c r="M25" s="29"/>
      <c r="N25" s="29">
        <v>1</v>
      </c>
      <c r="O25" s="29">
        <v>1</v>
      </c>
      <c r="P25" s="29">
        <v>2</v>
      </c>
      <c r="Q25" s="29"/>
      <c r="R25" s="29" t="s">
        <v>41</v>
      </c>
      <c r="S25" s="29"/>
    </row>
    <row r="26" spans="1:19" s="46" customFormat="1">
      <c r="A26" s="29">
        <v>25</v>
      </c>
      <c r="B26" s="29" t="s">
        <v>159</v>
      </c>
      <c r="C26" s="29" t="s">
        <v>153</v>
      </c>
      <c r="D26" s="29" t="s">
        <v>160</v>
      </c>
      <c r="E26" s="29" t="s">
        <v>161</v>
      </c>
      <c r="F26" s="29" t="s">
        <v>162</v>
      </c>
      <c r="G26" s="29">
        <v>1</v>
      </c>
      <c r="H26" s="29">
        <v>1</v>
      </c>
      <c r="I26" s="29">
        <v>1</v>
      </c>
      <c r="J26" s="30" t="s">
        <v>163</v>
      </c>
      <c r="K26" s="30"/>
      <c r="L26" s="29" t="s">
        <v>164</v>
      </c>
      <c r="M26" s="29"/>
      <c r="N26" s="29">
        <v>0</v>
      </c>
      <c r="O26" s="29">
        <v>0</v>
      </c>
      <c r="P26" s="29">
        <v>0</v>
      </c>
      <c r="Q26" s="29" t="s">
        <v>165</v>
      </c>
      <c r="R26" s="29"/>
      <c r="S26" s="29"/>
    </row>
    <row r="27" spans="1:19" s="46" customFormat="1">
      <c r="A27" s="29">
        <v>26</v>
      </c>
      <c r="B27" s="29" t="s">
        <v>166</v>
      </c>
      <c r="C27" s="29" t="s">
        <v>153</v>
      </c>
      <c r="D27" s="29" t="s">
        <v>167</v>
      </c>
      <c r="E27" s="29" t="s">
        <v>168</v>
      </c>
      <c r="F27" s="29" t="s">
        <v>169</v>
      </c>
      <c r="G27" s="29">
        <v>1</v>
      </c>
      <c r="H27" s="29">
        <v>1</v>
      </c>
      <c r="I27" s="29">
        <v>1</v>
      </c>
      <c r="J27" s="30" t="s">
        <v>170</v>
      </c>
      <c r="K27" s="30"/>
      <c r="L27" s="29" t="s">
        <v>171</v>
      </c>
      <c r="M27" s="29"/>
      <c r="N27" s="29">
        <v>1</v>
      </c>
      <c r="O27" s="29">
        <v>1</v>
      </c>
      <c r="P27" s="29">
        <v>2</v>
      </c>
      <c r="Q27" s="29"/>
      <c r="R27" s="29" t="s">
        <v>41</v>
      </c>
      <c r="S27" s="29"/>
    </row>
    <row r="28" spans="1:19" s="46" customFormat="1">
      <c r="A28" s="29">
        <v>27</v>
      </c>
      <c r="B28" s="29" t="s">
        <v>172</v>
      </c>
      <c r="C28" s="29" t="s">
        <v>173</v>
      </c>
      <c r="D28" s="29" t="s">
        <v>174</v>
      </c>
      <c r="E28" s="29" t="s">
        <v>175</v>
      </c>
      <c r="F28" s="29" t="s">
        <v>176</v>
      </c>
      <c r="G28" s="29">
        <v>1</v>
      </c>
      <c r="H28" s="29">
        <v>1</v>
      </c>
      <c r="I28" s="29">
        <v>0</v>
      </c>
      <c r="J28" s="29"/>
      <c r="K28" s="29"/>
      <c r="L28" s="29"/>
      <c r="M28" s="29" t="s">
        <v>177</v>
      </c>
      <c r="N28" s="29">
        <v>0</v>
      </c>
      <c r="O28" s="29">
        <v>0</v>
      </c>
      <c r="P28" s="29"/>
      <c r="Q28" s="29"/>
      <c r="R28" s="29"/>
      <c r="S28" s="29"/>
    </row>
    <row r="29" spans="1:19" s="46" customFormat="1">
      <c r="A29" s="29">
        <v>28</v>
      </c>
      <c r="B29" s="29" t="s">
        <v>178</v>
      </c>
      <c r="C29" s="29" t="s">
        <v>179</v>
      </c>
      <c r="D29" s="29" t="s">
        <v>180</v>
      </c>
      <c r="E29" s="29" t="s">
        <v>181</v>
      </c>
      <c r="F29" s="29" t="s">
        <v>182</v>
      </c>
      <c r="G29" s="29">
        <v>1</v>
      </c>
      <c r="H29" s="29">
        <v>1</v>
      </c>
      <c r="I29" s="29">
        <v>0</v>
      </c>
      <c r="J29" s="29"/>
      <c r="K29" s="29"/>
      <c r="L29" s="29" t="str">
        <f>A29&amp;" "&amp;C29</f>
        <v>28 de Wilde, TRW; Ten Velden, FS; De Dreu, CKW</v>
      </c>
      <c r="M29" s="29"/>
      <c r="N29" s="29">
        <v>0</v>
      </c>
      <c r="O29" s="29">
        <v>0</v>
      </c>
      <c r="P29" s="29"/>
      <c r="Q29" s="29" t="s">
        <v>183</v>
      </c>
      <c r="R29" s="29"/>
      <c r="S29" s="37" t="s">
        <v>184</v>
      </c>
    </row>
    <row r="30" spans="1:19" s="46" customFormat="1">
      <c r="A30" s="29">
        <v>29</v>
      </c>
      <c r="B30" s="29" t="s">
        <v>185</v>
      </c>
      <c r="C30" s="29" t="s">
        <v>186</v>
      </c>
      <c r="D30" s="29" t="s">
        <v>187</v>
      </c>
      <c r="E30" s="29" t="s">
        <v>188</v>
      </c>
      <c r="F30" s="29" t="s">
        <v>189</v>
      </c>
      <c r="G30" s="29">
        <v>1</v>
      </c>
      <c r="H30" s="29">
        <v>1</v>
      </c>
      <c r="I30" s="29">
        <v>0</v>
      </c>
      <c r="J30" s="29"/>
      <c r="K30" s="29"/>
      <c r="L30" s="29"/>
      <c r="M30" s="29" t="s">
        <v>190</v>
      </c>
      <c r="N30" s="29">
        <v>0</v>
      </c>
      <c r="O30" s="29">
        <v>0</v>
      </c>
      <c r="P30" s="29"/>
      <c r="Q30" s="29"/>
      <c r="R30" s="29"/>
      <c r="S30" s="29"/>
    </row>
    <row r="31" spans="1:19" s="45" customFormat="1">
      <c r="A31" s="29">
        <v>30</v>
      </c>
      <c r="B31" s="29" t="s">
        <v>191</v>
      </c>
      <c r="C31" s="29" t="s">
        <v>192</v>
      </c>
      <c r="D31" s="29" t="s">
        <v>193</v>
      </c>
      <c r="E31" s="29" t="s">
        <v>194</v>
      </c>
      <c r="F31" s="29" t="s">
        <v>195</v>
      </c>
      <c r="G31" s="29">
        <v>1</v>
      </c>
      <c r="H31" s="29">
        <v>0</v>
      </c>
      <c r="I31" s="29">
        <v>0</v>
      </c>
      <c r="J31" s="29"/>
      <c r="K31" s="29"/>
      <c r="L31" s="29"/>
      <c r="M31" s="30" t="s">
        <v>196</v>
      </c>
      <c r="N31" s="30">
        <v>0</v>
      </c>
      <c r="O31" s="29">
        <v>0</v>
      </c>
      <c r="P31" s="29"/>
      <c r="Q31" s="29" t="s">
        <v>1135</v>
      </c>
      <c r="R31" s="29"/>
      <c r="S31" s="29"/>
    </row>
    <row r="32" spans="1:19" s="46" customFormat="1">
      <c r="A32" s="29">
        <v>31</v>
      </c>
      <c r="B32" s="29" t="s">
        <v>197</v>
      </c>
      <c r="C32" s="29" t="s">
        <v>198</v>
      </c>
      <c r="D32" s="29" t="s">
        <v>199</v>
      </c>
      <c r="E32" s="29" t="s">
        <v>200</v>
      </c>
      <c r="F32" s="29" t="s">
        <v>201</v>
      </c>
      <c r="G32" s="29">
        <v>1</v>
      </c>
      <c r="H32" s="29">
        <v>1</v>
      </c>
      <c r="I32" s="29">
        <v>0</v>
      </c>
      <c r="J32" s="29"/>
      <c r="K32" s="29"/>
      <c r="L32" s="29"/>
      <c r="M32" s="29" t="s">
        <v>202</v>
      </c>
      <c r="N32" s="29">
        <v>0</v>
      </c>
      <c r="O32" s="29">
        <v>0</v>
      </c>
      <c r="P32" s="29"/>
      <c r="Q32" s="29"/>
      <c r="R32" s="29"/>
      <c r="S32" s="29"/>
    </row>
    <row r="33" spans="1:19" s="46" customFormat="1">
      <c r="A33" s="29">
        <v>32</v>
      </c>
      <c r="B33" s="29" t="s">
        <v>203</v>
      </c>
      <c r="C33" s="29" t="s">
        <v>204</v>
      </c>
      <c r="D33" s="29" t="s">
        <v>205</v>
      </c>
      <c r="E33" s="29" t="s">
        <v>206</v>
      </c>
      <c r="F33" s="29" t="s">
        <v>207</v>
      </c>
      <c r="G33" s="29">
        <v>1</v>
      </c>
      <c r="H33" s="29">
        <v>0</v>
      </c>
      <c r="I33" s="29">
        <v>0</v>
      </c>
      <c r="J33" s="29"/>
      <c r="K33" s="29"/>
      <c r="L33" s="29"/>
      <c r="M33" s="29" t="s">
        <v>208</v>
      </c>
      <c r="N33" s="29">
        <v>0</v>
      </c>
      <c r="O33" s="29">
        <v>0</v>
      </c>
      <c r="P33" s="29"/>
      <c r="Q33" s="29" t="s">
        <v>209</v>
      </c>
      <c r="R33" s="29"/>
      <c r="S33" s="29" t="s">
        <v>210</v>
      </c>
    </row>
    <row r="34" spans="1:19" s="46" customFormat="1">
      <c r="A34" s="29">
        <v>33</v>
      </c>
      <c r="B34" s="29" t="s">
        <v>211</v>
      </c>
      <c r="C34" s="29" t="s">
        <v>204</v>
      </c>
      <c r="D34" s="29" t="s">
        <v>212</v>
      </c>
      <c r="E34" s="29" t="s">
        <v>213</v>
      </c>
      <c r="F34" s="29" t="s">
        <v>214</v>
      </c>
      <c r="G34" s="29">
        <v>1</v>
      </c>
      <c r="H34" s="29">
        <v>1</v>
      </c>
      <c r="I34" s="29">
        <v>0</v>
      </c>
      <c r="J34" s="29"/>
      <c r="K34" s="29"/>
      <c r="L34" s="29"/>
      <c r="M34" s="29"/>
      <c r="N34" s="29">
        <v>0</v>
      </c>
      <c r="O34" s="29">
        <v>0</v>
      </c>
      <c r="P34" s="29"/>
      <c r="Q34" s="29" t="s">
        <v>215</v>
      </c>
      <c r="R34" s="29"/>
      <c r="S34" s="29"/>
    </row>
    <row r="35" spans="1:19" s="46" customFormat="1">
      <c r="A35" s="29">
        <v>34</v>
      </c>
      <c r="B35" s="29" t="s">
        <v>216</v>
      </c>
      <c r="C35" s="29" t="s">
        <v>217</v>
      </c>
      <c r="D35" s="29" t="s">
        <v>218</v>
      </c>
      <c r="E35" s="29" t="s">
        <v>219</v>
      </c>
      <c r="F35" s="29" t="s">
        <v>220</v>
      </c>
      <c r="G35" s="29">
        <v>1</v>
      </c>
      <c r="H35" s="29">
        <v>1</v>
      </c>
      <c r="I35" s="29">
        <v>0</v>
      </c>
      <c r="J35" s="29"/>
      <c r="K35" s="29"/>
      <c r="L35" s="29"/>
      <c r="M35" s="30" t="s">
        <v>221</v>
      </c>
      <c r="N35" s="30">
        <v>0</v>
      </c>
      <c r="O35" s="29">
        <v>0</v>
      </c>
      <c r="P35" s="29"/>
      <c r="Q35" s="29" t="s">
        <v>222</v>
      </c>
      <c r="R35" s="29"/>
      <c r="S35" s="29"/>
    </row>
    <row r="36" spans="1:19" s="46" customFormat="1">
      <c r="A36" s="29">
        <v>35</v>
      </c>
      <c r="B36" s="29" t="s">
        <v>223</v>
      </c>
      <c r="C36" s="29" t="s">
        <v>224</v>
      </c>
      <c r="D36" s="29" t="s">
        <v>225</v>
      </c>
      <c r="E36" s="29" t="s">
        <v>226</v>
      </c>
      <c r="F36" s="29" t="s">
        <v>227</v>
      </c>
      <c r="G36" s="29">
        <v>1</v>
      </c>
      <c r="H36" s="29">
        <v>1</v>
      </c>
      <c r="I36" s="29">
        <v>0</v>
      </c>
      <c r="J36" s="29"/>
      <c r="K36" s="29"/>
      <c r="L36" s="29"/>
      <c r="M36" s="29" t="s">
        <v>228</v>
      </c>
      <c r="N36" s="29">
        <v>0</v>
      </c>
      <c r="O36" s="29">
        <v>0</v>
      </c>
      <c r="P36" s="29"/>
      <c r="Q36" s="29" t="s">
        <v>222</v>
      </c>
      <c r="R36" s="29"/>
      <c r="S36" s="29"/>
    </row>
    <row r="37" spans="1:19" s="46" customFormat="1">
      <c r="A37" s="29">
        <v>36</v>
      </c>
      <c r="B37" s="29" t="s">
        <v>229</v>
      </c>
      <c r="C37" s="29" t="s">
        <v>224</v>
      </c>
      <c r="D37" s="29" t="s">
        <v>230</v>
      </c>
      <c r="E37" s="29" t="s">
        <v>231</v>
      </c>
      <c r="F37" s="29" t="s">
        <v>232</v>
      </c>
      <c r="G37" s="29">
        <v>1</v>
      </c>
      <c r="H37" s="29">
        <v>1</v>
      </c>
      <c r="I37" s="29">
        <v>0</v>
      </c>
      <c r="J37" s="29"/>
      <c r="K37" s="29"/>
      <c r="L37" s="29"/>
      <c r="M37" s="29" t="s">
        <v>228</v>
      </c>
      <c r="N37" s="29">
        <v>0</v>
      </c>
      <c r="O37" s="29">
        <v>0</v>
      </c>
      <c r="P37" s="29"/>
      <c r="Q37" s="29" t="s">
        <v>222</v>
      </c>
      <c r="R37" s="29"/>
      <c r="S37" s="29"/>
    </row>
    <row r="38" spans="1:19" s="46" customFormat="1">
      <c r="A38" s="29">
        <v>37</v>
      </c>
      <c r="B38" s="29" t="s">
        <v>233</v>
      </c>
      <c r="C38" s="29" t="s">
        <v>234</v>
      </c>
      <c r="D38" s="29" t="s">
        <v>235</v>
      </c>
      <c r="E38" s="29" t="s">
        <v>45</v>
      </c>
      <c r="F38" s="29"/>
      <c r="G38" s="29">
        <v>1</v>
      </c>
      <c r="H38" s="29">
        <v>1</v>
      </c>
      <c r="I38" s="29">
        <v>0</v>
      </c>
      <c r="J38" s="29"/>
      <c r="K38" s="29"/>
      <c r="L38" s="29"/>
      <c r="M38" s="29"/>
      <c r="N38" s="29">
        <v>0</v>
      </c>
      <c r="O38" s="29">
        <v>0</v>
      </c>
      <c r="P38" s="29"/>
      <c r="Q38" s="29" t="s">
        <v>236</v>
      </c>
      <c r="R38" s="29"/>
      <c r="S38" s="29" t="s">
        <v>33</v>
      </c>
    </row>
    <row r="39" spans="1:19" s="46" customFormat="1">
      <c r="A39" s="29">
        <v>38</v>
      </c>
      <c r="B39" s="29" t="s">
        <v>237</v>
      </c>
      <c r="C39" s="29" t="s">
        <v>238</v>
      </c>
      <c r="D39" s="29" t="s">
        <v>239</v>
      </c>
      <c r="E39" s="29" t="s">
        <v>240</v>
      </c>
      <c r="F39" s="29" t="s">
        <v>241</v>
      </c>
      <c r="G39" s="29">
        <v>1</v>
      </c>
      <c r="H39" s="29">
        <v>1</v>
      </c>
      <c r="I39" s="29">
        <v>0</v>
      </c>
      <c r="J39" s="29"/>
      <c r="K39" s="29"/>
      <c r="L39" s="29"/>
      <c r="M39" s="30" t="s">
        <v>242</v>
      </c>
      <c r="N39" s="30">
        <v>0</v>
      </c>
      <c r="O39" s="29">
        <v>0</v>
      </c>
      <c r="P39" s="29"/>
      <c r="Q39" s="29"/>
      <c r="R39" s="29"/>
      <c r="S39" s="29"/>
    </row>
    <row r="40" spans="1:19" s="46" customFormat="1">
      <c r="A40" s="29">
        <v>39</v>
      </c>
      <c r="B40" s="29" t="s">
        <v>243</v>
      </c>
      <c r="C40" s="29" t="s">
        <v>238</v>
      </c>
      <c r="D40" s="29" t="s">
        <v>244</v>
      </c>
      <c r="E40" s="29" t="s">
        <v>245</v>
      </c>
      <c r="F40" s="29" t="s">
        <v>246</v>
      </c>
      <c r="G40" s="29">
        <v>1</v>
      </c>
      <c r="H40" s="29">
        <v>1</v>
      </c>
      <c r="I40" s="29">
        <v>0</v>
      </c>
      <c r="J40" s="29"/>
      <c r="K40" s="29"/>
      <c r="L40" s="29"/>
      <c r="M40" s="30" t="s">
        <v>242</v>
      </c>
      <c r="N40" s="30">
        <v>0</v>
      </c>
      <c r="O40" s="29">
        <v>0</v>
      </c>
      <c r="P40" s="29"/>
      <c r="Q40" s="29"/>
      <c r="R40" s="29"/>
      <c r="S40" s="29"/>
    </row>
    <row r="41" spans="1:19" s="46" customFormat="1">
      <c r="A41" s="29">
        <v>40</v>
      </c>
      <c r="B41" s="29" t="s">
        <v>247</v>
      </c>
      <c r="C41" s="29" t="s">
        <v>238</v>
      </c>
      <c r="D41" s="29" t="s">
        <v>248</v>
      </c>
      <c r="E41" s="29" t="s">
        <v>249</v>
      </c>
      <c r="F41" s="29" t="s">
        <v>250</v>
      </c>
      <c r="G41" s="29">
        <v>1</v>
      </c>
      <c r="H41" s="29">
        <v>1</v>
      </c>
      <c r="I41" s="29">
        <v>0</v>
      </c>
      <c r="J41" s="29"/>
      <c r="K41" s="29"/>
      <c r="L41" s="29"/>
      <c r="M41" s="30" t="s">
        <v>242</v>
      </c>
      <c r="N41" s="30">
        <v>0</v>
      </c>
      <c r="O41" s="29">
        <v>0</v>
      </c>
      <c r="P41" s="29"/>
      <c r="Q41" s="29"/>
      <c r="R41" s="29"/>
      <c r="S41" s="29"/>
    </row>
    <row r="42" spans="1:19" s="46" customFormat="1">
      <c r="A42" s="29">
        <v>41</v>
      </c>
      <c r="B42" s="29" t="s">
        <v>251</v>
      </c>
      <c r="C42" s="29" t="s">
        <v>238</v>
      </c>
      <c r="D42" s="29" t="s">
        <v>252</v>
      </c>
      <c r="E42" s="29" t="s">
        <v>253</v>
      </c>
      <c r="F42" s="29" t="s">
        <v>254</v>
      </c>
      <c r="G42" s="29">
        <v>1</v>
      </c>
      <c r="H42" s="29">
        <v>1</v>
      </c>
      <c r="I42" s="29">
        <v>0</v>
      </c>
      <c r="J42" s="29"/>
      <c r="K42" s="29"/>
      <c r="L42" s="29"/>
      <c r="M42" s="30" t="s">
        <v>242</v>
      </c>
      <c r="N42" s="30">
        <v>0</v>
      </c>
      <c r="O42" s="29">
        <v>0</v>
      </c>
      <c r="P42" s="29"/>
      <c r="Q42" s="29"/>
      <c r="R42" s="29"/>
      <c r="S42" s="29"/>
    </row>
    <row r="43" spans="1:19" s="46" customFormat="1">
      <c r="A43" s="29">
        <v>42</v>
      </c>
      <c r="B43" s="29" t="s">
        <v>255</v>
      </c>
      <c r="C43" s="29" t="s">
        <v>256</v>
      </c>
      <c r="D43" s="29" t="s">
        <v>257</v>
      </c>
      <c r="E43" s="29" t="s">
        <v>258</v>
      </c>
      <c r="F43" s="29" t="s">
        <v>259</v>
      </c>
      <c r="G43" s="29">
        <v>1</v>
      </c>
      <c r="H43" s="29">
        <v>1</v>
      </c>
      <c r="I43" s="29">
        <v>1</v>
      </c>
      <c r="J43" s="30" t="s">
        <v>260</v>
      </c>
      <c r="K43" s="30"/>
      <c r="L43" s="29" t="s">
        <v>261</v>
      </c>
      <c r="M43" s="29"/>
      <c r="N43" s="29">
        <v>1</v>
      </c>
      <c r="O43" s="29">
        <v>0</v>
      </c>
      <c r="P43" s="29"/>
      <c r="Q43" s="29" t="s">
        <v>262</v>
      </c>
      <c r="R43" s="29"/>
      <c r="S43" s="29"/>
    </row>
    <row r="44" spans="1:19" s="46" customFormat="1">
      <c r="A44" s="29">
        <v>43</v>
      </c>
      <c r="B44" s="29" t="s">
        <v>263</v>
      </c>
      <c r="C44" s="29" t="s">
        <v>256</v>
      </c>
      <c r="D44" s="29" t="s">
        <v>264</v>
      </c>
      <c r="E44" s="29" t="s">
        <v>45</v>
      </c>
      <c r="F44" s="29"/>
      <c r="G44" s="29">
        <v>1</v>
      </c>
      <c r="H44" s="29">
        <v>1</v>
      </c>
      <c r="I44" s="29">
        <v>1</v>
      </c>
      <c r="J44" s="30" t="s">
        <v>265</v>
      </c>
      <c r="K44" s="30" t="s">
        <v>266</v>
      </c>
      <c r="L44" s="29" t="s">
        <v>267</v>
      </c>
      <c r="M44" s="29"/>
      <c r="N44" s="29">
        <v>1</v>
      </c>
      <c r="O44" s="29">
        <v>0</v>
      </c>
      <c r="P44" s="29"/>
      <c r="Q44" s="29" t="s">
        <v>268</v>
      </c>
      <c r="R44" s="29"/>
      <c r="S44" s="29"/>
    </row>
    <row r="45" spans="1:19" s="47" customFormat="1">
      <c r="A45" s="29">
        <v>44</v>
      </c>
      <c r="B45" s="29" t="s">
        <v>269</v>
      </c>
      <c r="C45" s="29" t="s">
        <v>270</v>
      </c>
      <c r="D45" s="29" t="s">
        <v>271</v>
      </c>
      <c r="E45" s="29" t="s">
        <v>272</v>
      </c>
      <c r="F45" s="29" t="s">
        <v>273</v>
      </c>
      <c r="G45" s="29">
        <v>1</v>
      </c>
      <c r="H45" s="29">
        <v>1</v>
      </c>
      <c r="I45" s="29">
        <v>0</v>
      </c>
      <c r="J45" s="29"/>
      <c r="K45" s="29"/>
      <c r="L45" s="29"/>
      <c r="M45" s="29" t="s">
        <v>274</v>
      </c>
      <c r="N45" s="29">
        <v>0</v>
      </c>
      <c r="O45" s="29">
        <v>0</v>
      </c>
      <c r="P45" s="29"/>
      <c r="Q45" s="29"/>
      <c r="R45" s="29"/>
      <c r="S45" s="29"/>
    </row>
    <row r="46" spans="1:19" s="47" customFormat="1">
      <c r="A46" s="29">
        <v>45</v>
      </c>
      <c r="B46" s="29" t="s">
        <v>275</v>
      </c>
      <c r="C46" s="29" t="s">
        <v>276</v>
      </c>
      <c r="D46" s="29" t="s">
        <v>277</v>
      </c>
      <c r="E46" s="29" t="s">
        <v>278</v>
      </c>
      <c r="F46" s="29"/>
      <c r="G46" s="29">
        <v>1</v>
      </c>
      <c r="H46" s="29">
        <v>1</v>
      </c>
      <c r="I46" s="29">
        <v>1</v>
      </c>
      <c r="J46" s="30" t="s">
        <v>279</v>
      </c>
      <c r="K46" s="29"/>
      <c r="L46" s="29" t="s">
        <v>280</v>
      </c>
      <c r="M46" s="29"/>
      <c r="N46" s="29">
        <v>1</v>
      </c>
      <c r="O46" s="29">
        <v>1</v>
      </c>
      <c r="P46" s="29"/>
      <c r="Q46" s="29"/>
      <c r="R46" s="29" t="s">
        <v>41</v>
      </c>
      <c r="S46" s="29"/>
    </row>
    <row r="47" spans="1:19" s="47" customFormat="1">
      <c r="A47" s="29">
        <v>46</v>
      </c>
      <c r="B47" s="29" t="s">
        <v>281</v>
      </c>
      <c r="C47" s="29" t="s">
        <v>282</v>
      </c>
      <c r="D47" s="29" t="s">
        <v>283</v>
      </c>
      <c r="E47" s="29" t="s">
        <v>284</v>
      </c>
      <c r="F47" s="29" t="s">
        <v>285</v>
      </c>
      <c r="G47" s="29">
        <v>1</v>
      </c>
      <c r="H47" s="29">
        <v>1</v>
      </c>
      <c r="I47" s="29">
        <v>0</v>
      </c>
      <c r="J47" s="29"/>
      <c r="K47" s="29"/>
      <c r="L47" s="29"/>
      <c r="M47" s="29" t="s">
        <v>286</v>
      </c>
      <c r="N47" s="29">
        <v>0</v>
      </c>
      <c r="O47" s="29">
        <v>0</v>
      </c>
      <c r="P47" s="29"/>
      <c r="Q47" s="29"/>
      <c r="R47" s="29"/>
      <c r="S47" s="29"/>
    </row>
    <row r="48" spans="1:19" s="46" customFormat="1">
      <c r="A48" s="29">
        <v>47</v>
      </c>
      <c r="B48" s="29" t="s">
        <v>287</v>
      </c>
      <c r="C48" s="29" t="s">
        <v>288</v>
      </c>
      <c r="D48" s="29" t="s">
        <v>289</v>
      </c>
      <c r="E48" s="29" t="s">
        <v>290</v>
      </c>
      <c r="F48" s="29" t="s">
        <v>291</v>
      </c>
      <c r="G48" s="29">
        <v>1</v>
      </c>
      <c r="H48" s="29">
        <v>1</v>
      </c>
      <c r="I48" s="29">
        <v>0</v>
      </c>
      <c r="J48" s="29"/>
      <c r="K48" s="29"/>
      <c r="L48" s="29"/>
      <c r="M48" s="29" t="s">
        <v>286</v>
      </c>
      <c r="N48" s="29">
        <v>0</v>
      </c>
      <c r="O48" s="29">
        <v>0</v>
      </c>
      <c r="P48" s="29"/>
      <c r="Q48" s="29"/>
      <c r="R48" s="29"/>
      <c r="S48" s="29"/>
    </row>
    <row r="49" spans="1:19" s="46" customFormat="1">
      <c r="A49" s="29">
        <v>48</v>
      </c>
      <c r="B49" s="29" t="s">
        <v>292</v>
      </c>
      <c r="C49" s="29" t="s">
        <v>293</v>
      </c>
      <c r="D49" s="29" t="s">
        <v>294</v>
      </c>
      <c r="E49" s="29" t="s">
        <v>295</v>
      </c>
      <c r="F49" s="29" t="s">
        <v>296</v>
      </c>
      <c r="G49" s="29">
        <v>1</v>
      </c>
      <c r="H49" s="29">
        <v>1</v>
      </c>
      <c r="I49" s="29">
        <v>0</v>
      </c>
      <c r="J49" s="29"/>
      <c r="K49" s="29"/>
      <c r="L49" s="29"/>
      <c r="M49" s="29" t="s">
        <v>297</v>
      </c>
      <c r="N49" s="29">
        <v>0</v>
      </c>
      <c r="O49" s="29">
        <v>0</v>
      </c>
      <c r="P49" s="29"/>
      <c r="Q49" s="29"/>
      <c r="R49" s="29"/>
      <c r="S49" s="29" t="s">
        <v>298</v>
      </c>
    </row>
    <row r="50" spans="1:19" s="46" customFormat="1">
      <c r="A50" s="29">
        <v>49</v>
      </c>
      <c r="B50" s="29" t="s">
        <v>299</v>
      </c>
      <c r="C50" s="29" t="s">
        <v>300</v>
      </c>
      <c r="D50" s="29" t="s">
        <v>301</v>
      </c>
      <c r="E50" s="29" t="s">
        <v>302</v>
      </c>
      <c r="F50" s="29" t="s">
        <v>303</v>
      </c>
      <c r="G50" s="29">
        <v>1</v>
      </c>
      <c r="H50" s="29">
        <v>1</v>
      </c>
      <c r="I50" s="29">
        <v>0</v>
      </c>
      <c r="J50" s="29"/>
      <c r="K50" s="29"/>
      <c r="L50" s="29"/>
      <c r="M50" s="29" t="s">
        <v>304</v>
      </c>
      <c r="N50" s="29">
        <v>0</v>
      </c>
      <c r="O50" s="29">
        <v>0</v>
      </c>
      <c r="P50" s="29"/>
      <c r="Q50" s="29"/>
      <c r="R50" s="29"/>
      <c r="S50" s="29"/>
    </row>
    <row r="51" spans="1:19" s="46" customFormat="1">
      <c r="A51" s="29">
        <v>50</v>
      </c>
      <c r="B51" s="29" t="s">
        <v>305</v>
      </c>
      <c r="C51" s="29" t="s">
        <v>306</v>
      </c>
      <c r="D51" s="29" t="s">
        <v>307</v>
      </c>
      <c r="E51" s="29" t="s">
        <v>308</v>
      </c>
      <c r="F51" s="29" t="s">
        <v>309</v>
      </c>
      <c r="G51" s="29">
        <v>1</v>
      </c>
      <c r="H51" s="29">
        <v>1</v>
      </c>
      <c r="I51" s="29">
        <v>0</v>
      </c>
      <c r="J51" s="29"/>
      <c r="K51" s="29"/>
      <c r="L51" s="29"/>
      <c r="M51" s="29" t="s">
        <v>310</v>
      </c>
      <c r="N51" s="29">
        <v>0</v>
      </c>
      <c r="O51" s="29">
        <v>0</v>
      </c>
      <c r="P51" s="29"/>
      <c r="Q51" s="29"/>
      <c r="R51" s="29"/>
      <c r="S51" s="29"/>
    </row>
    <row r="52" spans="1:19" s="46" customFormat="1">
      <c r="A52" s="29">
        <v>51</v>
      </c>
      <c r="B52" s="29" t="s">
        <v>311</v>
      </c>
      <c r="C52" s="29" t="s">
        <v>312</v>
      </c>
      <c r="D52" s="29" t="s">
        <v>313</v>
      </c>
      <c r="E52" s="29" t="s">
        <v>314</v>
      </c>
      <c r="F52" s="29" t="s">
        <v>315</v>
      </c>
      <c r="G52" s="29">
        <v>1</v>
      </c>
      <c r="H52" s="32">
        <v>1</v>
      </c>
      <c r="I52" s="29">
        <v>0</v>
      </c>
      <c r="J52" s="29"/>
      <c r="K52" s="29"/>
      <c r="L52" s="29"/>
      <c r="M52" s="29"/>
      <c r="N52" s="29">
        <v>0</v>
      </c>
      <c r="O52" s="29">
        <v>0</v>
      </c>
      <c r="P52" s="29"/>
      <c r="Q52" s="29" t="s">
        <v>1136</v>
      </c>
      <c r="R52" s="29"/>
      <c r="S52" s="29" t="s">
        <v>316</v>
      </c>
    </row>
    <row r="53" spans="1:19" s="46" customFormat="1">
      <c r="A53" s="29">
        <v>52</v>
      </c>
      <c r="B53" s="29" t="s">
        <v>317</v>
      </c>
      <c r="C53" s="29" t="s">
        <v>318</v>
      </c>
      <c r="D53" s="29" t="s">
        <v>319</v>
      </c>
      <c r="E53" s="29" t="s">
        <v>320</v>
      </c>
      <c r="F53" s="29" t="s">
        <v>321</v>
      </c>
      <c r="G53" s="29">
        <v>1</v>
      </c>
      <c r="H53" s="29">
        <v>0</v>
      </c>
      <c r="I53" s="29">
        <v>1</v>
      </c>
      <c r="J53" s="30" t="s">
        <v>322</v>
      </c>
      <c r="K53" s="29"/>
      <c r="L53" s="29" t="s">
        <v>323</v>
      </c>
      <c r="M53" s="29"/>
      <c r="N53" s="29">
        <v>1</v>
      </c>
      <c r="O53" s="29">
        <v>1</v>
      </c>
      <c r="P53" s="29"/>
      <c r="Q53" s="29"/>
      <c r="R53" s="29" t="s">
        <v>41</v>
      </c>
      <c r="S53" s="29"/>
    </row>
    <row r="54" spans="1:19" s="46" customFormat="1">
      <c r="A54" s="29">
        <v>53</v>
      </c>
      <c r="B54" s="29" t="s">
        <v>324</v>
      </c>
      <c r="C54" s="29" t="s">
        <v>325</v>
      </c>
      <c r="D54" s="29" t="s">
        <v>326</v>
      </c>
      <c r="E54" s="29" t="s">
        <v>45</v>
      </c>
      <c r="F54" s="29"/>
      <c r="G54" s="29">
        <v>1</v>
      </c>
      <c r="H54" s="29">
        <v>1</v>
      </c>
      <c r="I54" s="29">
        <v>0</v>
      </c>
      <c r="J54" s="29"/>
      <c r="K54" s="29"/>
      <c r="L54" s="29"/>
      <c r="M54" s="29" t="s">
        <v>327</v>
      </c>
      <c r="N54" s="29">
        <v>0</v>
      </c>
      <c r="O54" s="29">
        <v>0</v>
      </c>
      <c r="P54" s="29"/>
      <c r="Q54" s="29"/>
      <c r="R54" s="29"/>
      <c r="S54" s="29" t="s">
        <v>33</v>
      </c>
    </row>
    <row r="55" spans="1:19" s="45" customFormat="1">
      <c r="A55" s="29">
        <v>54</v>
      </c>
      <c r="B55" s="29" t="s">
        <v>328</v>
      </c>
      <c r="C55" s="29" t="s">
        <v>329</v>
      </c>
      <c r="D55" s="29" t="s">
        <v>330</v>
      </c>
      <c r="E55" s="29" t="s">
        <v>331</v>
      </c>
      <c r="F55" s="29" t="s">
        <v>332</v>
      </c>
      <c r="G55" s="29">
        <v>1</v>
      </c>
      <c r="H55" s="29">
        <v>1</v>
      </c>
      <c r="I55" s="29">
        <v>0</v>
      </c>
      <c r="J55" s="29"/>
      <c r="K55" s="29"/>
      <c r="L55" s="29"/>
      <c r="M55" s="29" t="s">
        <v>333</v>
      </c>
      <c r="N55" s="29">
        <v>0</v>
      </c>
      <c r="O55" s="29">
        <v>0</v>
      </c>
      <c r="P55" s="29"/>
      <c r="Q55" s="29"/>
      <c r="R55" s="29"/>
      <c r="S55" s="29" t="s">
        <v>334</v>
      </c>
    </row>
    <row r="56" spans="1:19" s="46" customFormat="1">
      <c r="A56" s="29">
        <v>55</v>
      </c>
      <c r="B56" s="29" t="s">
        <v>335</v>
      </c>
      <c r="C56" s="29" t="s">
        <v>336</v>
      </c>
      <c r="D56" s="29" t="s">
        <v>337</v>
      </c>
      <c r="E56" s="29" t="s">
        <v>338</v>
      </c>
      <c r="F56" s="29" t="s">
        <v>339</v>
      </c>
      <c r="G56" s="29">
        <v>1</v>
      </c>
      <c r="H56" s="29">
        <v>0</v>
      </c>
      <c r="I56" s="29">
        <v>0</v>
      </c>
      <c r="J56" s="29"/>
      <c r="K56" s="29"/>
      <c r="L56" s="29"/>
      <c r="M56" s="29" t="s">
        <v>340</v>
      </c>
      <c r="N56" s="29">
        <v>0</v>
      </c>
      <c r="O56" s="29">
        <v>0</v>
      </c>
      <c r="P56" s="29"/>
      <c r="Q56" s="29"/>
      <c r="R56" s="29"/>
      <c r="S56" s="29"/>
    </row>
    <row r="57" spans="1:19" s="46" customFormat="1">
      <c r="A57" s="29">
        <v>56</v>
      </c>
      <c r="B57" s="29" t="s">
        <v>1141</v>
      </c>
      <c r="C57" s="29" t="s">
        <v>341</v>
      </c>
      <c r="D57" s="29" t="s">
        <v>342</v>
      </c>
      <c r="E57" s="29"/>
      <c r="F57" s="29"/>
      <c r="G57" s="29">
        <v>1</v>
      </c>
      <c r="H57" s="32">
        <v>0</v>
      </c>
      <c r="I57" s="29">
        <v>0</v>
      </c>
      <c r="J57" s="29"/>
      <c r="K57" s="29"/>
      <c r="L57" s="29"/>
      <c r="M57" s="29"/>
      <c r="N57" s="29">
        <v>0</v>
      </c>
      <c r="O57" s="29">
        <v>0</v>
      </c>
      <c r="P57" s="29"/>
      <c r="Q57" s="29" t="s">
        <v>1135</v>
      </c>
      <c r="R57" s="29"/>
      <c r="S57" s="29" t="s">
        <v>343</v>
      </c>
    </row>
    <row r="58" spans="1:19" s="46" customFormat="1">
      <c r="A58" s="29">
        <v>57</v>
      </c>
      <c r="B58" s="29" t="s">
        <v>344</v>
      </c>
      <c r="C58" s="29" t="s">
        <v>345</v>
      </c>
      <c r="D58" s="29" t="s">
        <v>346</v>
      </c>
      <c r="E58" s="29" t="s">
        <v>347</v>
      </c>
      <c r="F58" s="29" t="s">
        <v>348</v>
      </c>
      <c r="G58" s="29">
        <v>1</v>
      </c>
      <c r="H58" s="29">
        <v>1</v>
      </c>
      <c r="I58" s="29">
        <v>0</v>
      </c>
      <c r="J58" s="29"/>
      <c r="K58" s="29"/>
      <c r="L58" s="29"/>
      <c r="M58" s="29" t="s">
        <v>349</v>
      </c>
      <c r="N58" s="29">
        <v>0</v>
      </c>
      <c r="O58" s="29">
        <v>0</v>
      </c>
      <c r="P58" s="29"/>
      <c r="Q58" s="29"/>
      <c r="R58" s="29"/>
      <c r="S58" s="29"/>
    </row>
    <row r="59" spans="1:19" s="46" customFormat="1">
      <c r="A59" s="29">
        <v>58</v>
      </c>
      <c r="B59" s="29" t="s">
        <v>350</v>
      </c>
      <c r="C59" s="29" t="s">
        <v>351</v>
      </c>
      <c r="D59" s="29" t="s">
        <v>352</v>
      </c>
      <c r="E59" s="29" t="s">
        <v>353</v>
      </c>
      <c r="F59" s="29" t="s">
        <v>354</v>
      </c>
      <c r="G59" s="29">
        <v>1</v>
      </c>
      <c r="H59" s="29">
        <v>0</v>
      </c>
      <c r="I59" s="29">
        <v>1</v>
      </c>
      <c r="J59" s="30" t="s">
        <v>355</v>
      </c>
      <c r="K59" s="29"/>
      <c r="L59" s="29" t="s">
        <v>356</v>
      </c>
      <c r="M59" s="29"/>
      <c r="N59" s="29">
        <v>1</v>
      </c>
      <c r="O59" s="29">
        <v>0</v>
      </c>
      <c r="P59" s="29"/>
      <c r="Q59" s="29" t="s">
        <v>357</v>
      </c>
      <c r="R59" s="29"/>
      <c r="S59" s="29" t="s">
        <v>130</v>
      </c>
    </row>
    <row r="60" spans="1:19" s="45" customFormat="1">
      <c r="A60" s="29">
        <v>59</v>
      </c>
      <c r="B60" s="29" t="s">
        <v>358</v>
      </c>
      <c r="C60" s="29" t="s">
        <v>359</v>
      </c>
      <c r="D60" s="29" t="s">
        <v>360</v>
      </c>
      <c r="E60" s="29" t="s">
        <v>45</v>
      </c>
      <c r="F60" s="29"/>
      <c r="G60" s="29">
        <v>1</v>
      </c>
      <c r="H60" s="29">
        <v>1</v>
      </c>
      <c r="I60" s="29">
        <v>0</v>
      </c>
      <c r="J60" s="29"/>
      <c r="K60" s="29"/>
      <c r="L60" s="29"/>
      <c r="M60" s="30" t="s">
        <v>361</v>
      </c>
      <c r="N60" s="30">
        <v>0</v>
      </c>
      <c r="O60" s="29">
        <v>0</v>
      </c>
      <c r="P60" s="29"/>
      <c r="Q60" s="29"/>
      <c r="R60" s="29"/>
      <c r="S60" s="29" t="s">
        <v>33</v>
      </c>
    </row>
    <row r="61" spans="1:19" s="46" customFormat="1">
      <c r="A61" s="29">
        <v>60</v>
      </c>
      <c r="B61" s="29" t="s">
        <v>362</v>
      </c>
      <c r="C61" s="29" t="s">
        <v>363</v>
      </c>
      <c r="D61" s="29" t="s">
        <v>364</v>
      </c>
      <c r="E61" s="29" t="s">
        <v>365</v>
      </c>
      <c r="F61" s="29" t="s">
        <v>366</v>
      </c>
      <c r="G61" s="29">
        <v>1</v>
      </c>
      <c r="H61" s="29">
        <v>1</v>
      </c>
      <c r="I61" s="29">
        <v>0</v>
      </c>
      <c r="J61" s="29"/>
      <c r="K61" s="29"/>
      <c r="L61" s="29"/>
      <c r="M61" s="29" t="s">
        <v>367</v>
      </c>
      <c r="N61" s="29">
        <v>0</v>
      </c>
      <c r="O61" s="29">
        <v>0</v>
      </c>
      <c r="P61" s="29"/>
      <c r="Q61" s="29"/>
      <c r="R61" s="29"/>
      <c r="S61" s="29"/>
    </row>
    <row r="62" spans="1:19" s="46" customFormat="1">
      <c r="A62" s="29">
        <v>61</v>
      </c>
      <c r="B62" s="29" t="s">
        <v>368</v>
      </c>
      <c r="C62" s="29" t="s">
        <v>369</v>
      </c>
      <c r="D62" s="29" t="s">
        <v>370</v>
      </c>
      <c r="E62" s="29" t="s">
        <v>371</v>
      </c>
      <c r="F62" s="29" t="s">
        <v>372</v>
      </c>
      <c r="G62" s="29">
        <v>1</v>
      </c>
      <c r="H62" s="29">
        <v>1</v>
      </c>
      <c r="I62" s="29">
        <v>0</v>
      </c>
      <c r="J62" s="29"/>
      <c r="K62" s="29"/>
      <c r="L62" s="29"/>
      <c r="M62" s="29" t="s">
        <v>373</v>
      </c>
      <c r="N62" s="29">
        <v>0</v>
      </c>
      <c r="O62" s="29">
        <v>0</v>
      </c>
      <c r="P62" s="29"/>
      <c r="Q62" s="29"/>
      <c r="R62" s="29"/>
      <c r="S62" s="29"/>
    </row>
    <row r="63" spans="1:19" s="46" customFormat="1">
      <c r="A63" s="29">
        <v>62</v>
      </c>
      <c r="B63" s="29" t="s">
        <v>374</v>
      </c>
      <c r="C63" s="29" t="s">
        <v>375</v>
      </c>
      <c r="D63" s="29" t="s">
        <v>376</v>
      </c>
      <c r="E63" s="29" t="s">
        <v>377</v>
      </c>
      <c r="F63" s="29" t="s">
        <v>378</v>
      </c>
      <c r="G63" s="29">
        <v>1</v>
      </c>
      <c r="H63" s="29">
        <v>1</v>
      </c>
      <c r="I63" s="29">
        <v>0</v>
      </c>
      <c r="J63" s="29"/>
      <c r="K63" s="29"/>
      <c r="L63" s="29"/>
      <c r="M63" s="29" t="s">
        <v>379</v>
      </c>
      <c r="N63" s="29">
        <v>0</v>
      </c>
      <c r="O63" s="29">
        <v>0</v>
      </c>
      <c r="P63" s="29"/>
      <c r="Q63" s="29"/>
      <c r="R63" s="29"/>
      <c r="S63" s="29"/>
    </row>
    <row r="64" spans="1:19" s="46" customFormat="1">
      <c r="A64" s="29">
        <v>63</v>
      </c>
      <c r="B64" s="29" t="s">
        <v>380</v>
      </c>
      <c r="C64" s="29" t="s">
        <v>381</v>
      </c>
      <c r="D64" s="29" t="s">
        <v>382</v>
      </c>
      <c r="E64" s="29" t="s">
        <v>383</v>
      </c>
      <c r="F64" s="29" t="s">
        <v>384</v>
      </c>
      <c r="G64" s="29">
        <v>1</v>
      </c>
      <c r="H64" s="29">
        <v>1</v>
      </c>
      <c r="I64" s="29">
        <v>0</v>
      </c>
      <c r="J64" s="29"/>
      <c r="K64" s="29"/>
      <c r="L64" s="29"/>
      <c r="M64" s="29" t="s">
        <v>385</v>
      </c>
      <c r="N64" s="29">
        <v>0</v>
      </c>
      <c r="O64" s="29">
        <v>0</v>
      </c>
      <c r="P64" s="29"/>
      <c r="Q64" s="29"/>
      <c r="R64" s="29"/>
      <c r="S64" s="29"/>
    </row>
    <row r="65" spans="1:19" s="46" customFormat="1">
      <c r="A65" s="29">
        <v>64</v>
      </c>
      <c r="B65" s="29" t="s">
        <v>386</v>
      </c>
      <c r="C65" s="29" t="s">
        <v>387</v>
      </c>
      <c r="D65" s="29" t="s">
        <v>388</v>
      </c>
      <c r="E65" s="29"/>
      <c r="F65" s="29"/>
      <c r="G65" s="29">
        <v>1</v>
      </c>
      <c r="H65" s="29">
        <v>1</v>
      </c>
      <c r="I65" s="29">
        <v>0</v>
      </c>
      <c r="J65" s="29"/>
      <c r="K65" s="29"/>
      <c r="L65" s="29"/>
      <c r="M65" s="30" t="s">
        <v>389</v>
      </c>
      <c r="N65" s="30">
        <v>0</v>
      </c>
      <c r="O65" s="29">
        <v>0</v>
      </c>
      <c r="P65" s="29"/>
      <c r="Q65" s="29"/>
      <c r="R65" s="29"/>
      <c r="S65" s="29" t="s">
        <v>33</v>
      </c>
    </row>
    <row r="66" spans="1:19" s="46" customFormat="1">
      <c r="A66" s="29">
        <v>65</v>
      </c>
      <c r="B66" s="29" t="s">
        <v>390</v>
      </c>
      <c r="C66" s="29" t="s">
        <v>391</v>
      </c>
      <c r="D66" s="29" t="s">
        <v>392</v>
      </c>
      <c r="E66" s="29" t="s">
        <v>393</v>
      </c>
      <c r="F66" s="29" t="s">
        <v>394</v>
      </c>
      <c r="G66" s="29">
        <v>1</v>
      </c>
      <c r="H66" s="29">
        <v>1</v>
      </c>
      <c r="I66" s="29">
        <v>1</v>
      </c>
      <c r="J66" s="30" t="s">
        <v>395</v>
      </c>
      <c r="K66" s="29"/>
      <c r="L66" s="29" t="s">
        <v>396</v>
      </c>
      <c r="M66" s="29"/>
      <c r="N66" s="29">
        <v>1</v>
      </c>
      <c r="O66" s="29">
        <v>0</v>
      </c>
      <c r="P66" s="29"/>
      <c r="Q66" s="29" t="s">
        <v>262</v>
      </c>
      <c r="R66" s="29"/>
      <c r="S66" s="29"/>
    </row>
    <row r="67" spans="1:19" s="46" customFormat="1">
      <c r="A67" s="29">
        <v>66</v>
      </c>
      <c r="B67" s="29" t="s">
        <v>397</v>
      </c>
      <c r="C67" s="29" t="s">
        <v>398</v>
      </c>
      <c r="D67" s="29" t="s">
        <v>399</v>
      </c>
      <c r="E67" s="29" t="s">
        <v>400</v>
      </c>
      <c r="F67" s="29" t="s">
        <v>401</v>
      </c>
      <c r="G67" s="29">
        <v>1</v>
      </c>
      <c r="H67" s="29">
        <v>0</v>
      </c>
      <c r="I67" s="29">
        <v>0</v>
      </c>
      <c r="J67" s="29"/>
      <c r="K67" s="29"/>
      <c r="L67" s="29"/>
      <c r="M67" s="29" t="s">
        <v>402</v>
      </c>
      <c r="N67" s="29">
        <v>0</v>
      </c>
      <c r="O67" s="29">
        <v>0</v>
      </c>
      <c r="P67" s="29"/>
      <c r="Q67" s="29"/>
      <c r="R67" s="29"/>
      <c r="S67" s="29"/>
    </row>
    <row r="68" spans="1:19" s="46" customFormat="1">
      <c r="A68" s="29">
        <v>67</v>
      </c>
      <c r="B68" s="29" t="s">
        <v>403</v>
      </c>
      <c r="C68" s="29" t="s">
        <v>404</v>
      </c>
      <c r="D68" s="29" t="s">
        <v>405</v>
      </c>
      <c r="E68" s="29" t="s">
        <v>406</v>
      </c>
      <c r="F68" s="29" t="s">
        <v>407</v>
      </c>
      <c r="G68" s="29">
        <v>1</v>
      </c>
      <c r="H68" s="29">
        <v>1</v>
      </c>
      <c r="I68" s="29">
        <v>0</v>
      </c>
      <c r="J68" s="29"/>
      <c r="K68" s="29"/>
      <c r="L68" s="29"/>
      <c r="M68" s="29" t="s">
        <v>408</v>
      </c>
      <c r="N68" s="29">
        <v>0</v>
      </c>
      <c r="O68" s="29">
        <v>0</v>
      </c>
      <c r="P68" s="29"/>
      <c r="Q68" s="29"/>
      <c r="R68" s="29"/>
      <c r="S68" s="29"/>
    </row>
    <row r="69" spans="1:19" s="46" customFormat="1">
      <c r="A69" s="29">
        <v>68</v>
      </c>
      <c r="B69" s="29" t="s">
        <v>409</v>
      </c>
      <c r="C69" s="29" t="s">
        <v>410</v>
      </c>
      <c r="D69" s="29" t="s">
        <v>411</v>
      </c>
      <c r="E69" s="29"/>
      <c r="F69" s="29"/>
      <c r="G69" s="29">
        <v>1</v>
      </c>
      <c r="H69" s="29">
        <v>0</v>
      </c>
      <c r="I69" s="29">
        <v>0</v>
      </c>
      <c r="J69" s="29"/>
      <c r="K69" s="29"/>
      <c r="L69" s="29"/>
      <c r="M69" s="29" t="s">
        <v>412</v>
      </c>
      <c r="N69" s="29">
        <v>0</v>
      </c>
      <c r="O69" s="29">
        <v>0</v>
      </c>
      <c r="P69" s="29"/>
      <c r="Q69" s="29"/>
      <c r="R69" s="29"/>
      <c r="S69" s="29" t="s">
        <v>33</v>
      </c>
    </row>
    <row r="70" spans="1:19" s="46" customFormat="1">
      <c r="A70" s="29">
        <v>69</v>
      </c>
      <c r="B70" s="29" t="s">
        <v>413</v>
      </c>
      <c r="C70" s="29" t="s">
        <v>414</v>
      </c>
      <c r="D70" s="29" t="s">
        <v>415</v>
      </c>
      <c r="E70" s="29" t="s">
        <v>416</v>
      </c>
      <c r="F70" s="29"/>
      <c r="G70" s="29">
        <v>1</v>
      </c>
      <c r="H70" s="29">
        <v>1</v>
      </c>
      <c r="I70" s="29">
        <v>1</v>
      </c>
      <c r="J70" s="30" t="s">
        <v>417</v>
      </c>
      <c r="K70" s="29"/>
      <c r="L70" s="29" t="s">
        <v>418</v>
      </c>
      <c r="M70" s="29"/>
      <c r="N70" s="29">
        <v>1</v>
      </c>
      <c r="O70" s="29">
        <v>1</v>
      </c>
      <c r="P70" s="29"/>
      <c r="Q70" s="29"/>
      <c r="R70" s="29" t="s">
        <v>41</v>
      </c>
      <c r="S70" s="29"/>
    </row>
    <row r="71" spans="1:19" s="46" customFormat="1">
      <c r="A71" s="29">
        <v>70</v>
      </c>
      <c r="B71" s="29" t="s">
        <v>419</v>
      </c>
      <c r="C71" s="29" t="s">
        <v>420</v>
      </c>
      <c r="D71" s="29" t="s">
        <v>421</v>
      </c>
      <c r="E71" s="29" t="s">
        <v>422</v>
      </c>
      <c r="F71" s="29" t="s">
        <v>423</v>
      </c>
      <c r="G71" s="29">
        <v>1</v>
      </c>
      <c r="H71" s="29">
        <v>1</v>
      </c>
      <c r="I71" s="29">
        <v>0</v>
      </c>
      <c r="J71" s="29"/>
      <c r="K71" s="29"/>
      <c r="L71" s="29"/>
      <c r="M71" s="29" t="s">
        <v>424</v>
      </c>
      <c r="N71" s="29">
        <v>0</v>
      </c>
      <c r="O71" s="29">
        <v>0</v>
      </c>
      <c r="P71" s="29"/>
      <c r="Q71" s="29"/>
      <c r="R71" s="29"/>
      <c r="S71" s="29"/>
    </row>
    <row r="72" spans="1:19" s="46" customFormat="1">
      <c r="A72" s="29">
        <v>71</v>
      </c>
      <c r="B72" s="29" t="s">
        <v>425</v>
      </c>
      <c r="C72" s="29" t="s">
        <v>426</v>
      </c>
      <c r="D72" s="29" t="s">
        <v>427</v>
      </c>
      <c r="E72" s="29" t="s">
        <v>428</v>
      </c>
      <c r="F72" s="29" t="s">
        <v>429</v>
      </c>
      <c r="G72" s="29">
        <v>1</v>
      </c>
      <c r="H72" s="29">
        <v>1</v>
      </c>
      <c r="I72" s="29">
        <v>1</v>
      </c>
      <c r="J72" s="30" t="s">
        <v>430</v>
      </c>
      <c r="K72" s="29"/>
      <c r="L72" s="29" t="s">
        <v>431</v>
      </c>
      <c r="M72" s="29" t="s">
        <v>432</v>
      </c>
      <c r="N72" s="29">
        <v>1</v>
      </c>
      <c r="O72" s="29">
        <v>1</v>
      </c>
      <c r="P72" s="29"/>
      <c r="Q72" s="29" t="s">
        <v>433</v>
      </c>
      <c r="R72" s="29" t="s">
        <v>41</v>
      </c>
      <c r="S72" s="29"/>
    </row>
    <row r="73" spans="1:19" s="46" customFormat="1">
      <c r="A73" s="29">
        <v>72</v>
      </c>
      <c r="B73" s="29" t="s">
        <v>434</v>
      </c>
      <c r="C73" s="29" t="s">
        <v>435</v>
      </c>
      <c r="D73" s="29" t="s">
        <v>436</v>
      </c>
      <c r="E73" s="29" t="s">
        <v>437</v>
      </c>
      <c r="F73" s="29" t="s">
        <v>438</v>
      </c>
      <c r="G73" s="29">
        <v>1</v>
      </c>
      <c r="H73" s="29">
        <v>1</v>
      </c>
      <c r="I73" s="29">
        <v>0</v>
      </c>
      <c r="J73" s="29"/>
      <c r="K73" s="29"/>
      <c r="L73" s="29"/>
      <c r="M73" s="29" t="s">
        <v>439</v>
      </c>
      <c r="N73" s="29">
        <v>0</v>
      </c>
      <c r="O73" s="29">
        <v>0</v>
      </c>
      <c r="P73" s="29"/>
      <c r="Q73" s="29"/>
      <c r="R73" s="29"/>
      <c r="S73" s="29"/>
    </row>
    <row r="74" spans="1:19" s="46" customFormat="1">
      <c r="A74" s="29">
        <v>73</v>
      </c>
      <c r="B74" s="29" t="s">
        <v>440</v>
      </c>
      <c r="C74" s="29" t="s">
        <v>441</v>
      </c>
      <c r="D74" s="29" t="s">
        <v>442</v>
      </c>
      <c r="E74" s="29" t="s">
        <v>443</v>
      </c>
      <c r="F74" s="29" t="s">
        <v>444</v>
      </c>
      <c r="G74" s="29">
        <v>1</v>
      </c>
      <c r="H74" s="29">
        <v>1</v>
      </c>
      <c r="I74" s="29">
        <v>0</v>
      </c>
      <c r="J74" s="29"/>
      <c r="K74" s="29"/>
      <c r="L74" s="29"/>
      <c r="M74" s="29" t="s">
        <v>445</v>
      </c>
      <c r="N74" s="29">
        <v>0</v>
      </c>
      <c r="O74" s="29">
        <v>0</v>
      </c>
      <c r="P74" s="29"/>
      <c r="Q74" s="29"/>
      <c r="R74" s="29"/>
      <c r="S74" s="29"/>
    </row>
    <row r="75" spans="1:19" s="47" customFormat="1">
      <c r="A75" s="29">
        <v>74</v>
      </c>
      <c r="B75" s="29" t="s">
        <v>446</v>
      </c>
      <c r="C75" s="29" t="s">
        <v>447</v>
      </c>
      <c r="D75" s="29" t="s">
        <v>448</v>
      </c>
      <c r="E75" s="29" t="s">
        <v>449</v>
      </c>
      <c r="F75" s="29" t="s">
        <v>450</v>
      </c>
      <c r="G75" s="29">
        <v>1</v>
      </c>
      <c r="H75" s="29">
        <v>1</v>
      </c>
      <c r="I75" s="29">
        <v>1</v>
      </c>
      <c r="J75" s="29" t="s">
        <v>451</v>
      </c>
      <c r="K75" s="29"/>
      <c r="L75" s="29"/>
      <c r="M75" s="29" t="s">
        <v>452</v>
      </c>
      <c r="N75" s="29">
        <v>0</v>
      </c>
      <c r="O75" s="29">
        <v>0</v>
      </c>
      <c r="P75" s="29"/>
      <c r="Q75" s="29"/>
      <c r="R75" s="29"/>
      <c r="S75" s="29" t="s">
        <v>453</v>
      </c>
    </row>
    <row r="76" spans="1:19" s="46" customFormat="1">
      <c r="A76" s="29">
        <v>75</v>
      </c>
      <c r="B76" s="29" t="s">
        <v>454</v>
      </c>
      <c r="C76" s="29" t="s">
        <v>455</v>
      </c>
      <c r="D76" s="29" t="s">
        <v>456</v>
      </c>
      <c r="E76" s="29" t="s">
        <v>457</v>
      </c>
      <c r="F76" s="29" t="s">
        <v>458</v>
      </c>
      <c r="G76" s="29">
        <v>1</v>
      </c>
      <c r="H76" s="29">
        <v>0</v>
      </c>
      <c r="I76" s="29">
        <v>1</v>
      </c>
      <c r="J76" s="30" t="s">
        <v>459</v>
      </c>
      <c r="K76" s="29"/>
      <c r="L76" s="29" t="s">
        <v>460</v>
      </c>
      <c r="M76" s="29"/>
      <c r="N76" s="29">
        <v>1</v>
      </c>
      <c r="O76" s="29">
        <v>1</v>
      </c>
      <c r="P76" s="29"/>
      <c r="Q76" s="29" t="s">
        <v>461</v>
      </c>
      <c r="R76" s="29" t="s">
        <v>41</v>
      </c>
      <c r="S76" s="29"/>
    </row>
    <row r="77" spans="1:19" s="46" customFormat="1">
      <c r="A77" s="29">
        <v>76</v>
      </c>
      <c r="B77" s="29" t="s">
        <v>462</v>
      </c>
      <c r="C77" s="29" t="s">
        <v>463</v>
      </c>
      <c r="D77" s="29" t="s">
        <v>464</v>
      </c>
      <c r="E77" s="29" t="s">
        <v>465</v>
      </c>
      <c r="F77" s="29" t="s">
        <v>466</v>
      </c>
      <c r="G77" s="29">
        <v>1</v>
      </c>
      <c r="H77" s="29">
        <v>1</v>
      </c>
      <c r="I77" s="29">
        <v>0</v>
      </c>
      <c r="J77" s="29"/>
      <c r="K77" s="29"/>
      <c r="L77" s="29"/>
      <c r="M77" s="29" t="s">
        <v>467</v>
      </c>
      <c r="N77" s="29">
        <v>0</v>
      </c>
      <c r="O77" s="29">
        <v>0</v>
      </c>
      <c r="P77" s="29"/>
      <c r="Q77" s="29"/>
      <c r="R77" s="29"/>
      <c r="S77" s="29"/>
    </row>
    <row r="78" spans="1:19" s="46" customFormat="1">
      <c r="A78" s="29">
        <v>77</v>
      </c>
      <c r="B78" s="29" t="s">
        <v>468</v>
      </c>
      <c r="C78" s="29" t="s">
        <v>469</v>
      </c>
      <c r="D78" s="29" t="s">
        <v>470</v>
      </c>
      <c r="E78" s="38" t="s">
        <v>471</v>
      </c>
      <c r="F78" s="29"/>
      <c r="G78" s="29">
        <v>1</v>
      </c>
      <c r="H78" s="29">
        <v>0</v>
      </c>
      <c r="I78" s="29">
        <v>0</v>
      </c>
      <c r="J78" s="29"/>
      <c r="K78" s="29"/>
      <c r="L78" s="29"/>
      <c r="M78" s="29" t="s">
        <v>472</v>
      </c>
      <c r="N78" s="29">
        <v>0</v>
      </c>
      <c r="O78" s="29">
        <v>0</v>
      </c>
      <c r="P78" s="29"/>
      <c r="Q78" s="29"/>
      <c r="R78" s="29"/>
      <c r="S78" s="29"/>
    </row>
    <row r="79" spans="1:19" s="46" customFormat="1">
      <c r="A79" s="29">
        <v>78</v>
      </c>
      <c r="B79" s="29" t="s">
        <v>473</v>
      </c>
      <c r="C79" s="29" t="s">
        <v>474</v>
      </c>
      <c r="D79" s="29" t="s">
        <v>475</v>
      </c>
      <c r="E79" s="29" t="s">
        <v>476</v>
      </c>
      <c r="F79" s="29" t="s">
        <v>477</v>
      </c>
      <c r="G79" s="29">
        <v>1</v>
      </c>
      <c r="H79" s="29">
        <v>1</v>
      </c>
      <c r="I79" s="29">
        <v>1</v>
      </c>
      <c r="J79" s="30" t="s">
        <v>478</v>
      </c>
      <c r="K79" s="29"/>
      <c r="L79" s="29" t="s">
        <v>479</v>
      </c>
      <c r="M79" s="29"/>
      <c r="N79" s="29">
        <v>1</v>
      </c>
      <c r="O79" s="29">
        <v>0</v>
      </c>
      <c r="P79" s="29"/>
      <c r="Q79" s="29" t="s">
        <v>262</v>
      </c>
      <c r="R79" s="29"/>
      <c r="S79" s="29"/>
    </row>
    <row r="80" spans="1:19" s="46" customFormat="1">
      <c r="A80" s="29">
        <v>79</v>
      </c>
      <c r="B80" s="29" t="s">
        <v>480</v>
      </c>
      <c r="C80" s="29" t="s">
        <v>481</v>
      </c>
      <c r="D80" s="29" t="s">
        <v>482</v>
      </c>
      <c r="E80" s="29" t="s">
        <v>483</v>
      </c>
      <c r="F80" s="29" t="s">
        <v>484</v>
      </c>
      <c r="G80" s="29">
        <v>1</v>
      </c>
      <c r="H80" s="29">
        <v>1</v>
      </c>
      <c r="I80" s="29">
        <v>0</v>
      </c>
      <c r="J80" s="29"/>
      <c r="K80" s="29"/>
      <c r="L80" s="29"/>
      <c r="M80" s="30" t="s">
        <v>485</v>
      </c>
      <c r="N80" s="30">
        <v>0</v>
      </c>
      <c r="O80" s="29">
        <v>0</v>
      </c>
      <c r="P80" s="29"/>
      <c r="Q80" s="29"/>
      <c r="R80" s="29"/>
      <c r="S80" s="29"/>
    </row>
    <row r="81" spans="1:19" s="46" customFormat="1">
      <c r="A81" s="29">
        <v>80</v>
      </c>
      <c r="B81" s="29" t="s">
        <v>486</v>
      </c>
      <c r="C81" s="29" t="s">
        <v>487</v>
      </c>
      <c r="D81" s="29" t="s">
        <v>488</v>
      </c>
      <c r="E81" s="29" t="s">
        <v>489</v>
      </c>
      <c r="F81" s="29" t="s">
        <v>490</v>
      </c>
      <c r="G81" s="29">
        <v>1</v>
      </c>
      <c r="H81" s="29">
        <v>0</v>
      </c>
      <c r="I81" s="29">
        <v>0</v>
      </c>
      <c r="J81" s="29"/>
      <c r="K81" s="29"/>
      <c r="L81" s="29"/>
      <c r="M81" s="29" t="s">
        <v>491</v>
      </c>
      <c r="N81" s="29">
        <v>0</v>
      </c>
      <c r="O81" s="29">
        <v>0</v>
      </c>
      <c r="P81" s="29"/>
      <c r="Q81" s="29"/>
      <c r="R81" s="29"/>
      <c r="S81" s="29"/>
    </row>
    <row r="82" spans="1:19" s="47" customFormat="1">
      <c r="A82" s="29">
        <v>81</v>
      </c>
      <c r="B82" s="29" t="s">
        <v>492</v>
      </c>
      <c r="C82" s="29" t="s">
        <v>493</v>
      </c>
      <c r="D82" s="29" t="s">
        <v>494</v>
      </c>
      <c r="E82" s="29" t="s">
        <v>495</v>
      </c>
      <c r="F82" s="29" t="s">
        <v>496</v>
      </c>
      <c r="G82" s="29">
        <v>1</v>
      </c>
      <c r="H82" s="29">
        <v>1</v>
      </c>
      <c r="I82" s="29">
        <v>0</v>
      </c>
      <c r="J82" s="29"/>
      <c r="K82" s="29"/>
      <c r="L82" s="29"/>
      <c r="M82" s="29" t="s">
        <v>497</v>
      </c>
      <c r="N82" s="29">
        <v>0</v>
      </c>
      <c r="O82" s="29">
        <v>0</v>
      </c>
      <c r="P82" s="29"/>
      <c r="Q82" s="29"/>
      <c r="R82" s="29"/>
      <c r="S82" s="29"/>
    </row>
    <row r="83" spans="1:19" s="46" customFormat="1">
      <c r="A83" s="29">
        <v>82</v>
      </c>
      <c r="B83" s="29" t="s">
        <v>498</v>
      </c>
      <c r="C83" s="29" t="s">
        <v>499</v>
      </c>
      <c r="D83" s="29" t="s">
        <v>500</v>
      </c>
      <c r="E83" s="29" t="s">
        <v>501</v>
      </c>
      <c r="F83" s="29" t="s">
        <v>502</v>
      </c>
      <c r="G83" s="29">
        <v>1</v>
      </c>
      <c r="H83" s="29">
        <v>1</v>
      </c>
      <c r="I83" s="29">
        <v>0</v>
      </c>
      <c r="J83" s="29"/>
      <c r="K83" s="29"/>
      <c r="L83" s="29"/>
      <c r="M83" s="29" t="s">
        <v>503</v>
      </c>
      <c r="N83" s="29">
        <v>0</v>
      </c>
      <c r="O83" s="29">
        <v>0</v>
      </c>
      <c r="P83" s="29"/>
      <c r="Q83" s="29"/>
      <c r="R83" s="29"/>
      <c r="S83" s="29"/>
    </row>
    <row r="84" spans="1:19" s="46" customFormat="1">
      <c r="A84" s="29">
        <v>83</v>
      </c>
      <c r="B84" s="29" t="s">
        <v>504</v>
      </c>
      <c r="C84" s="29" t="s">
        <v>505</v>
      </c>
      <c r="D84" s="29" t="s">
        <v>506</v>
      </c>
      <c r="E84" s="29" t="s">
        <v>507</v>
      </c>
      <c r="F84" s="29" t="s">
        <v>508</v>
      </c>
      <c r="G84" s="29">
        <v>1</v>
      </c>
      <c r="H84" s="29">
        <v>1</v>
      </c>
      <c r="I84" s="29">
        <v>0</v>
      </c>
      <c r="J84" s="29"/>
      <c r="K84" s="29"/>
      <c r="L84" s="29"/>
      <c r="M84" s="29" t="s">
        <v>509</v>
      </c>
      <c r="N84" s="29">
        <v>0</v>
      </c>
      <c r="O84" s="29">
        <v>0</v>
      </c>
      <c r="P84" s="29"/>
      <c r="Q84" s="29"/>
      <c r="R84" s="29"/>
      <c r="S84" s="29"/>
    </row>
    <row r="85" spans="1:19" s="47" customFormat="1">
      <c r="A85" s="29">
        <v>84</v>
      </c>
      <c r="B85" s="29" t="s">
        <v>510</v>
      </c>
      <c r="C85" s="29" t="s">
        <v>511</v>
      </c>
      <c r="D85" s="29" t="s">
        <v>512</v>
      </c>
      <c r="E85" s="29" t="s">
        <v>45</v>
      </c>
      <c r="F85" s="29"/>
      <c r="G85" s="29">
        <v>1</v>
      </c>
      <c r="H85" s="29">
        <v>1</v>
      </c>
      <c r="I85" s="29">
        <v>0</v>
      </c>
      <c r="J85" s="29"/>
      <c r="K85" s="29"/>
      <c r="L85" s="29"/>
      <c r="M85" s="30" t="s">
        <v>513</v>
      </c>
      <c r="N85" s="30">
        <v>0</v>
      </c>
      <c r="O85" s="29">
        <v>0</v>
      </c>
      <c r="P85" s="29"/>
      <c r="Q85" s="29"/>
      <c r="R85" s="29"/>
      <c r="S85" s="29" t="s">
        <v>33</v>
      </c>
    </row>
    <row r="86" spans="1:19" s="46" customFormat="1">
      <c r="A86" s="29">
        <v>85</v>
      </c>
      <c r="B86" s="29" t="s">
        <v>514</v>
      </c>
      <c r="C86" s="29" t="s">
        <v>515</v>
      </c>
      <c r="D86" s="29" t="s">
        <v>516</v>
      </c>
      <c r="E86" s="29" t="s">
        <v>517</v>
      </c>
      <c r="F86" s="29" t="s">
        <v>518</v>
      </c>
      <c r="G86" s="29">
        <v>1</v>
      </c>
      <c r="H86" s="29">
        <v>0</v>
      </c>
      <c r="I86" s="29">
        <v>0</v>
      </c>
      <c r="J86" s="29"/>
      <c r="K86" s="29"/>
      <c r="L86" s="29"/>
      <c r="M86" s="30" t="s">
        <v>513</v>
      </c>
      <c r="N86" s="29">
        <v>0</v>
      </c>
      <c r="O86" s="29">
        <v>0</v>
      </c>
      <c r="P86" s="29"/>
      <c r="Q86" s="29"/>
      <c r="R86" s="29"/>
      <c r="S86" s="29"/>
    </row>
    <row r="87" spans="1:19" s="47" customFormat="1">
      <c r="A87" s="29">
        <v>86</v>
      </c>
      <c r="B87" s="29" t="s">
        <v>519</v>
      </c>
      <c r="C87" s="29" t="s">
        <v>520</v>
      </c>
      <c r="D87" s="29" t="s">
        <v>521</v>
      </c>
      <c r="E87" s="29" t="s">
        <v>522</v>
      </c>
      <c r="F87" s="29" t="s">
        <v>523</v>
      </c>
      <c r="G87" s="29">
        <v>1</v>
      </c>
      <c r="H87" s="29">
        <v>0</v>
      </c>
      <c r="I87" s="29">
        <v>0</v>
      </c>
      <c r="J87" s="29"/>
      <c r="K87" s="29"/>
      <c r="L87" s="29"/>
      <c r="M87" s="29"/>
      <c r="N87" s="29">
        <v>0</v>
      </c>
      <c r="O87" s="29">
        <v>0</v>
      </c>
      <c r="P87" s="29"/>
      <c r="Q87" s="29" t="s">
        <v>1137</v>
      </c>
      <c r="R87" s="29"/>
      <c r="S87" s="29"/>
    </row>
    <row r="88" spans="1:19" s="46" customFormat="1">
      <c r="A88" s="29">
        <v>87</v>
      </c>
      <c r="B88" s="29" t="s">
        <v>524</v>
      </c>
      <c r="C88" s="29" t="s">
        <v>525</v>
      </c>
      <c r="D88" s="29" t="s">
        <v>526</v>
      </c>
      <c r="E88" s="29" t="s">
        <v>527</v>
      </c>
      <c r="F88" s="29" t="s">
        <v>528</v>
      </c>
      <c r="G88" s="29">
        <v>1</v>
      </c>
      <c r="H88" s="29">
        <v>1</v>
      </c>
      <c r="I88" s="29">
        <v>0</v>
      </c>
      <c r="J88" s="29"/>
      <c r="K88" s="29"/>
      <c r="L88" s="29"/>
      <c r="M88" s="29" t="s">
        <v>529</v>
      </c>
      <c r="N88" s="29">
        <v>0</v>
      </c>
      <c r="O88" s="29">
        <v>0</v>
      </c>
      <c r="P88" s="29"/>
      <c r="Q88" s="29"/>
      <c r="R88" s="29"/>
      <c r="S88" s="29"/>
    </row>
    <row r="89" spans="1:19" s="46" customFormat="1">
      <c r="A89" s="29">
        <v>88</v>
      </c>
      <c r="B89" s="29" t="s">
        <v>530</v>
      </c>
      <c r="C89" s="29" t="s">
        <v>531</v>
      </c>
      <c r="D89" s="29" t="s">
        <v>532</v>
      </c>
      <c r="E89" s="29" t="s">
        <v>533</v>
      </c>
      <c r="F89" s="29" t="s">
        <v>534</v>
      </c>
      <c r="G89" s="29">
        <v>1</v>
      </c>
      <c r="H89" s="29">
        <v>1</v>
      </c>
      <c r="I89" s="29">
        <v>0</v>
      </c>
      <c r="J89" s="29"/>
      <c r="K89" s="29"/>
      <c r="L89" s="29"/>
      <c r="M89" s="29" t="s">
        <v>535</v>
      </c>
      <c r="N89" s="29">
        <v>0</v>
      </c>
      <c r="O89" s="29">
        <v>0</v>
      </c>
      <c r="P89" s="29"/>
      <c r="Q89" s="29"/>
      <c r="R89" s="29"/>
      <c r="S89" s="29"/>
    </row>
    <row r="90" spans="1:19" s="46" customFormat="1">
      <c r="A90" s="29">
        <v>89</v>
      </c>
      <c r="B90" s="29" t="s">
        <v>536</v>
      </c>
      <c r="C90" s="29" t="s">
        <v>537</v>
      </c>
      <c r="D90" s="29" t="s">
        <v>538</v>
      </c>
      <c r="E90" s="29" t="s">
        <v>539</v>
      </c>
      <c r="F90" s="29" t="s">
        <v>540</v>
      </c>
      <c r="G90" s="29">
        <v>1</v>
      </c>
      <c r="H90" s="29">
        <v>1</v>
      </c>
      <c r="I90" s="29">
        <v>0</v>
      </c>
      <c r="J90" s="29"/>
      <c r="K90" s="29"/>
      <c r="L90" s="29"/>
      <c r="M90" s="29" t="s">
        <v>221</v>
      </c>
      <c r="N90" s="29">
        <v>0</v>
      </c>
      <c r="O90" s="29">
        <v>0</v>
      </c>
      <c r="P90" s="29"/>
      <c r="Q90" s="29"/>
      <c r="R90" s="29"/>
      <c r="S90" s="29"/>
    </row>
    <row r="91" spans="1:19" s="46" customFormat="1">
      <c r="A91" s="29">
        <v>90</v>
      </c>
      <c r="B91" s="29" t="s">
        <v>541</v>
      </c>
      <c r="C91" s="29" t="s">
        <v>537</v>
      </c>
      <c r="D91" s="29" t="s">
        <v>542</v>
      </c>
      <c r="E91" s="29" t="s">
        <v>543</v>
      </c>
      <c r="F91" s="29" t="s">
        <v>544</v>
      </c>
      <c r="G91" s="29">
        <v>1</v>
      </c>
      <c r="H91" s="29">
        <v>1</v>
      </c>
      <c r="I91" s="29">
        <v>0</v>
      </c>
      <c r="J91" s="29"/>
      <c r="K91" s="29"/>
      <c r="L91" s="29"/>
      <c r="M91" s="29" t="s">
        <v>221</v>
      </c>
      <c r="N91" s="29">
        <v>0</v>
      </c>
      <c r="O91" s="29">
        <v>0</v>
      </c>
      <c r="P91" s="29"/>
      <c r="Q91" s="29"/>
      <c r="R91" s="29"/>
      <c r="S91" s="29"/>
    </row>
    <row r="92" spans="1:19" s="46" customFormat="1">
      <c r="A92" s="29">
        <v>91</v>
      </c>
      <c r="B92" s="29" t="s">
        <v>545</v>
      </c>
      <c r="C92" s="29" t="s">
        <v>546</v>
      </c>
      <c r="D92" s="29" t="s">
        <v>547</v>
      </c>
      <c r="E92" s="29" t="s">
        <v>548</v>
      </c>
      <c r="F92" s="29" t="s">
        <v>549</v>
      </c>
      <c r="G92" s="29">
        <v>1</v>
      </c>
      <c r="H92" s="29">
        <v>1</v>
      </c>
      <c r="I92" s="29">
        <v>0</v>
      </c>
      <c r="J92" s="29"/>
      <c r="K92" s="29"/>
      <c r="L92" s="29"/>
      <c r="M92" s="29" t="s">
        <v>221</v>
      </c>
      <c r="N92" s="29">
        <v>0</v>
      </c>
      <c r="O92" s="29">
        <v>0</v>
      </c>
      <c r="P92" s="29"/>
      <c r="Q92" s="29"/>
      <c r="R92" s="29"/>
      <c r="S92" s="29"/>
    </row>
    <row r="93" spans="1:19" s="46" customFormat="1">
      <c r="A93" s="29">
        <v>92</v>
      </c>
      <c r="B93" s="29" t="s">
        <v>550</v>
      </c>
      <c r="C93" s="29" t="s">
        <v>546</v>
      </c>
      <c r="D93" s="29" t="s">
        <v>551</v>
      </c>
      <c r="E93" s="29" t="s">
        <v>552</v>
      </c>
      <c r="F93" s="29" t="s">
        <v>553</v>
      </c>
      <c r="G93" s="29">
        <v>1</v>
      </c>
      <c r="H93" s="29">
        <v>1</v>
      </c>
      <c r="I93" s="29">
        <v>0</v>
      </c>
      <c r="J93" s="29"/>
      <c r="K93" s="29"/>
      <c r="L93" s="29"/>
      <c r="M93" s="29" t="s">
        <v>221</v>
      </c>
      <c r="N93" s="29">
        <v>0</v>
      </c>
      <c r="O93" s="29">
        <v>0</v>
      </c>
      <c r="P93" s="29"/>
      <c r="Q93" s="29"/>
      <c r="R93" s="29"/>
      <c r="S93" s="29"/>
    </row>
    <row r="94" spans="1:19" s="45" customFormat="1">
      <c r="A94" s="29">
        <v>93</v>
      </c>
      <c r="B94" s="29" t="s">
        <v>554</v>
      </c>
      <c r="C94" s="29" t="s">
        <v>555</v>
      </c>
      <c r="D94" s="29" t="s">
        <v>556</v>
      </c>
      <c r="E94" s="29" t="s">
        <v>45</v>
      </c>
      <c r="F94" s="29"/>
      <c r="G94" s="29">
        <v>1</v>
      </c>
      <c r="H94" s="29">
        <v>0</v>
      </c>
      <c r="I94" s="29">
        <v>0</v>
      </c>
      <c r="J94" s="29"/>
      <c r="K94" s="29"/>
      <c r="L94" s="29"/>
      <c r="M94" s="29" t="s">
        <v>221</v>
      </c>
      <c r="N94" s="29">
        <v>0</v>
      </c>
      <c r="O94" s="29">
        <v>0</v>
      </c>
      <c r="P94" s="29"/>
      <c r="Q94" s="29"/>
      <c r="R94" s="29"/>
      <c r="S94" s="29" t="s">
        <v>33</v>
      </c>
    </row>
    <row r="95" spans="1:19" s="46" customFormat="1">
      <c r="A95" s="29">
        <v>94</v>
      </c>
      <c r="B95" s="29" t="s">
        <v>557</v>
      </c>
      <c r="C95" s="29" t="s">
        <v>558</v>
      </c>
      <c r="D95" s="29" t="s">
        <v>559</v>
      </c>
      <c r="E95" s="29" t="s">
        <v>560</v>
      </c>
      <c r="F95" s="29" t="s">
        <v>561</v>
      </c>
      <c r="G95" s="29">
        <v>1</v>
      </c>
      <c r="H95" s="29">
        <v>1</v>
      </c>
      <c r="I95" s="29">
        <v>0</v>
      </c>
      <c r="J95" s="29"/>
      <c r="K95" s="29"/>
      <c r="L95" s="29"/>
      <c r="M95" s="29" t="s">
        <v>221</v>
      </c>
      <c r="N95" s="29">
        <v>0</v>
      </c>
      <c r="O95" s="29">
        <v>0</v>
      </c>
      <c r="P95" s="29"/>
      <c r="Q95" s="29"/>
      <c r="R95" s="29"/>
      <c r="S95" s="29"/>
    </row>
    <row r="96" spans="1:19" s="46" customFormat="1">
      <c r="A96" s="29">
        <v>95</v>
      </c>
      <c r="B96" s="29" t="s">
        <v>562</v>
      </c>
      <c r="C96" s="29" t="s">
        <v>558</v>
      </c>
      <c r="D96" s="29" t="s">
        <v>563</v>
      </c>
      <c r="E96" s="29" t="s">
        <v>564</v>
      </c>
      <c r="F96" s="29" t="s">
        <v>565</v>
      </c>
      <c r="G96" s="29">
        <v>1</v>
      </c>
      <c r="H96" s="29">
        <v>1</v>
      </c>
      <c r="I96" s="29">
        <v>0</v>
      </c>
      <c r="J96" s="29"/>
      <c r="K96" s="29"/>
      <c r="L96" s="29"/>
      <c r="M96" s="29" t="s">
        <v>221</v>
      </c>
      <c r="N96" s="29">
        <v>0</v>
      </c>
      <c r="O96" s="29">
        <v>0</v>
      </c>
      <c r="P96" s="29"/>
      <c r="Q96" s="29"/>
      <c r="R96" s="29"/>
      <c r="S96" s="29"/>
    </row>
    <row r="97" spans="1:19" s="46" customFormat="1">
      <c r="A97" s="29">
        <v>96</v>
      </c>
      <c r="B97" s="29" t="s">
        <v>566</v>
      </c>
      <c r="C97" s="29" t="s">
        <v>558</v>
      </c>
      <c r="D97" s="29" t="s">
        <v>567</v>
      </c>
      <c r="E97" s="29" t="s">
        <v>568</v>
      </c>
      <c r="F97" s="29" t="s">
        <v>569</v>
      </c>
      <c r="G97" s="29">
        <v>1</v>
      </c>
      <c r="H97" s="29">
        <v>1</v>
      </c>
      <c r="I97" s="29">
        <v>0</v>
      </c>
      <c r="J97" s="29"/>
      <c r="K97" s="29"/>
      <c r="L97" s="29"/>
      <c r="M97" s="29" t="s">
        <v>221</v>
      </c>
      <c r="N97" s="29">
        <v>0</v>
      </c>
      <c r="O97" s="29">
        <v>0</v>
      </c>
      <c r="P97" s="29"/>
      <c r="Q97" s="29"/>
      <c r="R97" s="29"/>
      <c r="S97" s="29"/>
    </row>
    <row r="98" spans="1:19" s="46" customFormat="1">
      <c r="A98" s="29">
        <v>97</v>
      </c>
      <c r="B98" s="29" t="s">
        <v>570</v>
      </c>
      <c r="C98" s="29" t="s">
        <v>558</v>
      </c>
      <c r="D98" s="29" t="s">
        <v>571</v>
      </c>
      <c r="E98" s="29" t="s">
        <v>572</v>
      </c>
      <c r="F98" s="29" t="s">
        <v>573</v>
      </c>
      <c r="G98" s="29">
        <v>1</v>
      </c>
      <c r="H98" s="29">
        <v>1</v>
      </c>
      <c r="I98" s="29">
        <v>0</v>
      </c>
      <c r="J98" s="29"/>
      <c r="K98" s="29"/>
      <c r="L98" s="29"/>
      <c r="M98" s="29" t="s">
        <v>221</v>
      </c>
      <c r="N98" s="29">
        <v>0</v>
      </c>
      <c r="O98" s="29">
        <v>0</v>
      </c>
      <c r="P98" s="29"/>
      <c r="Q98" s="29"/>
      <c r="R98" s="29"/>
      <c r="S98" s="29"/>
    </row>
    <row r="99" spans="1:19" s="46" customFormat="1">
      <c r="A99" s="29">
        <v>98</v>
      </c>
      <c r="B99" s="29" t="s">
        <v>574</v>
      </c>
      <c r="C99" s="29" t="s">
        <v>558</v>
      </c>
      <c r="D99" s="29" t="s">
        <v>575</v>
      </c>
      <c r="E99" s="29" t="s">
        <v>576</v>
      </c>
      <c r="F99" s="29" t="s">
        <v>577</v>
      </c>
      <c r="G99" s="29">
        <v>1</v>
      </c>
      <c r="H99" s="29">
        <v>1</v>
      </c>
      <c r="I99" s="29">
        <v>0</v>
      </c>
      <c r="J99" s="29"/>
      <c r="K99" s="29"/>
      <c r="L99" s="29"/>
      <c r="M99" s="29" t="s">
        <v>221</v>
      </c>
      <c r="N99" s="29">
        <v>0</v>
      </c>
      <c r="O99" s="29">
        <v>0</v>
      </c>
      <c r="P99" s="29"/>
      <c r="Q99" s="29"/>
      <c r="R99" s="29"/>
      <c r="S99" s="29"/>
    </row>
    <row r="100" spans="1:19" s="46" customFormat="1">
      <c r="A100" s="29">
        <v>99</v>
      </c>
      <c r="B100" s="29" t="s">
        <v>578</v>
      </c>
      <c r="C100" s="29" t="s">
        <v>579</v>
      </c>
      <c r="D100" s="29" t="s">
        <v>580</v>
      </c>
      <c r="E100" s="29" t="s">
        <v>581</v>
      </c>
      <c r="F100" s="29" t="s">
        <v>582</v>
      </c>
      <c r="G100" s="29">
        <v>1</v>
      </c>
      <c r="H100" s="29">
        <v>1</v>
      </c>
      <c r="I100" s="29">
        <v>0</v>
      </c>
      <c r="J100" s="29"/>
      <c r="K100" s="29"/>
      <c r="L100" s="29"/>
      <c r="M100" s="29" t="s">
        <v>221</v>
      </c>
      <c r="N100" s="29">
        <v>0</v>
      </c>
      <c r="O100" s="29">
        <v>0</v>
      </c>
      <c r="P100" s="29"/>
      <c r="Q100" s="29"/>
      <c r="R100" s="29"/>
      <c r="S100" s="29"/>
    </row>
    <row r="101" spans="1:19" s="46" customFormat="1" ht="13.65" customHeight="1">
      <c r="A101" s="29">
        <v>100</v>
      </c>
      <c r="B101" s="29" t="s">
        <v>583</v>
      </c>
      <c r="C101" s="29" t="s">
        <v>584</v>
      </c>
      <c r="D101" s="29" t="s">
        <v>585</v>
      </c>
      <c r="E101" s="29" t="s">
        <v>586</v>
      </c>
      <c r="F101" s="29" t="s">
        <v>587</v>
      </c>
      <c r="G101" s="29">
        <v>1</v>
      </c>
      <c r="H101" s="29">
        <v>0</v>
      </c>
      <c r="I101" s="29">
        <v>0</v>
      </c>
      <c r="J101" s="29"/>
      <c r="K101" s="29"/>
      <c r="L101" s="29"/>
      <c r="M101" s="29" t="s">
        <v>588</v>
      </c>
      <c r="N101" s="29">
        <v>0</v>
      </c>
      <c r="O101" s="29">
        <v>0</v>
      </c>
      <c r="P101" s="29"/>
      <c r="Q101" s="29"/>
      <c r="R101" s="29"/>
      <c r="S101" s="29" t="s">
        <v>210</v>
      </c>
    </row>
    <row r="102" spans="1:19" s="46" customFormat="1">
      <c r="A102" s="29">
        <v>101</v>
      </c>
      <c r="B102" s="29" t="s">
        <v>589</v>
      </c>
      <c r="C102" s="29" t="s">
        <v>590</v>
      </c>
      <c r="D102" s="29" t="s">
        <v>591</v>
      </c>
      <c r="E102" s="29" t="s">
        <v>592</v>
      </c>
      <c r="F102" s="29" t="s">
        <v>593</v>
      </c>
      <c r="G102" s="29">
        <v>1</v>
      </c>
      <c r="H102" s="29">
        <v>1</v>
      </c>
      <c r="I102" s="29">
        <v>1</v>
      </c>
      <c r="J102" s="30" t="s">
        <v>594</v>
      </c>
      <c r="K102" s="29"/>
      <c r="L102" s="29" t="s">
        <v>595</v>
      </c>
      <c r="M102" s="29"/>
      <c r="N102" s="29">
        <v>1</v>
      </c>
      <c r="O102" s="29">
        <v>1</v>
      </c>
      <c r="P102" s="29"/>
      <c r="Q102" s="29" t="s">
        <v>596</v>
      </c>
      <c r="R102" s="29" t="s">
        <v>41</v>
      </c>
      <c r="S102" s="29"/>
    </row>
    <row r="103" spans="1:19" s="46" customFormat="1">
      <c r="A103" s="29">
        <v>102</v>
      </c>
      <c r="B103" s="29" t="s">
        <v>597</v>
      </c>
      <c r="C103" s="29" t="s">
        <v>598</v>
      </c>
      <c r="D103" s="29" t="s">
        <v>599</v>
      </c>
      <c r="E103" s="29" t="s">
        <v>600</v>
      </c>
      <c r="F103" s="29" t="s">
        <v>601</v>
      </c>
      <c r="G103" s="29">
        <v>1</v>
      </c>
      <c r="H103" s="29">
        <v>1</v>
      </c>
      <c r="I103" s="29">
        <v>0</v>
      </c>
      <c r="J103" s="29"/>
      <c r="K103" s="29"/>
      <c r="L103" s="29"/>
      <c r="M103" s="29" t="s">
        <v>602</v>
      </c>
      <c r="N103" s="29">
        <v>0</v>
      </c>
      <c r="O103" s="29">
        <v>0</v>
      </c>
      <c r="P103" s="29"/>
      <c r="Q103" s="29"/>
      <c r="R103" s="29"/>
      <c r="S103" s="29"/>
    </row>
    <row r="104" spans="1:19" s="46" customFormat="1">
      <c r="A104" s="29">
        <v>103</v>
      </c>
      <c r="B104" s="29" t="s">
        <v>603</v>
      </c>
      <c r="C104" s="29" t="s">
        <v>604</v>
      </c>
      <c r="D104" s="29" t="s">
        <v>605</v>
      </c>
      <c r="E104" s="29" t="s">
        <v>606</v>
      </c>
      <c r="F104" s="29" t="s">
        <v>607</v>
      </c>
      <c r="G104" s="29">
        <v>1</v>
      </c>
      <c r="H104" s="29">
        <v>1</v>
      </c>
      <c r="I104" s="29">
        <v>0</v>
      </c>
      <c r="J104" s="29"/>
      <c r="K104" s="29"/>
      <c r="L104" s="29"/>
      <c r="M104" s="29" t="s">
        <v>608</v>
      </c>
      <c r="N104" s="29">
        <v>0</v>
      </c>
      <c r="O104" s="29">
        <v>0</v>
      </c>
      <c r="P104" s="29"/>
      <c r="Q104" s="29"/>
      <c r="R104" s="29"/>
      <c r="S104" s="29"/>
    </row>
    <row r="105" spans="1:19" s="46" customFormat="1">
      <c r="A105" s="29">
        <v>104</v>
      </c>
      <c r="B105" s="29" t="s">
        <v>609</v>
      </c>
      <c r="C105" s="29" t="s">
        <v>610</v>
      </c>
      <c r="D105" s="29" t="s">
        <v>611</v>
      </c>
      <c r="E105" s="29"/>
      <c r="F105" s="29"/>
      <c r="G105" s="29">
        <v>1</v>
      </c>
      <c r="H105" s="29">
        <v>1</v>
      </c>
      <c r="I105" s="29">
        <v>0</v>
      </c>
      <c r="J105" s="29"/>
      <c r="K105" s="29"/>
      <c r="L105" s="29"/>
      <c r="M105" s="29" t="s">
        <v>612</v>
      </c>
      <c r="N105" s="29">
        <v>0</v>
      </c>
      <c r="O105" s="29">
        <v>0</v>
      </c>
      <c r="P105" s="29"/>
      <c r="Q105" s="29"/>
      <c r="R105" s="29"/>
      <c r="S105" s="29" t="s">
        <v>33</v>
      </c>
    </row>
    <row r="106" spans="1:19" s="46" customFormat="1">
      <c r="A106" s="29">
        <v>105</v>
      </c>
      <c r="B106" s="29" t="s">
        <v>613</v>
      </c>
      <c r="C106" s="29" t="s">
        <v>614</v>
      </c>
      <c r="D106" s="29" t="s">
        <v>615</v>
      </c>
      <c r="E106" s="29" t="s">
        <v>616</v>
      </c>
      <c r="F106" s="29" t="s">
        <v>617</v>
      </c>
      <c r="G106" s="29">
        <v>1</v>
      </c>
      <c r="H106" s="29">
        <v>0</v>
      </c>
      <c r="I106" s="29">
        <v>0</v>
      </c>
      <c r="J106" s="29"/>
      <c r="K106" s="29"/>
      <c r="L106" s="29"/>
      <c r="M106" s="29" t="s">
        <v>618</v>
      </c>
      <c r="N106" s="29">
        <v>0</v>
      </c>
      <c r="O106" s="29">
        <v>0</v>
      </c>
      <c r="P106" s="29"/>
      <c r="Q106" s="29"/>
      <c r="R106" s="29"/>
      <c r="S106" s="29"/>
    </row>
    <row r="107" spans="1:19" s="46" customFormat="1">
      <c r="A107" s="29">
        <v>106</v>
      </c>
      <c r="B107" s="29" t="s">
        <v>619</v>
      </c>
      <c r="C107" s="29" t="s">
        <v>620</v>
      </c>
      <c r="D107" s="29" t="s">
        <v>621</v>
      </c>
      <c r="E107" s="29" t="s">
        <v>622</v>
      </c>
      <c r="F107" s="29" t="s">
        <v>623</v>
      </c>
      <c r="G107" s="29">
        <v>1</v>
      </c>
      <c r="H107" s="29">
        <v>1</v>
      </c>
      <c r="I107" s="29">
        <v>0</v>
      </c>
      <c r="J107" s="29"/>
      <c r="K107" s="29"/>
      <c r="L107" s="29"/>
      <c r="M107" s="30" t="s">
        <v>624</v>
      </c>
      <c r="N107" s="30">
        <v>0</v>
      </c>
      <c r="O107" s="29">
        <v>0</v>
      </c>
      <c r="P107" s="29"/>
      <c r="Q107" s="29"/>
      <c r="R107" s="29"/>
      <c r="S107" s="29"/>
    </row>
    <row r="108" spans="1:19" s="46" customFormat="1">
      <c r="A108" s="29">
        <v>107</v>
      </c>
      <c r="B108" s="29" t="s">
        <v>625</v>
      </c>
      <c r="C108" s="29" t="s">
        <v>626</v>
      </c>
      <c r="D108" s="29" t="s">
        <v>627</v>
      </c>
      <c r="E108" s="29" t="s">
        <v>628</v>
      </c>
      <c r="F108" s="29" t="s">
        <v>629</v>
      </c>
      <c r="G108" s="29">
        <v>1</v>
      </c>
      <c r="H108" s="29">
        <v>1</v>
      </c>
      <c r="I108" s="29">
        <v>1</v>
      </c>
      <c r="J108" s="30" t="s">
        <v>630</v>
      </c>
      <c r="K108" s="29"/>
      <c r="L108" s="29" t="s">
        <v>631</v>
      </c>
      <c r="M108" s="29"/>
      <c r="N108" s="29">
        <v>1</v>
      </c>
      <c r="O108" s="29">
        <v>0</v>
      </c>
      <c r="P108" s="29"/>
      <c r="Q108" s="29" t="s">
        <v>632</v>
      </c>
      <c r="R108" s="29"/>
      <c r="S108" s="29"/>
    </row>
    <row r="109" spans="1:19" s="46" customFormat="1">
      <c r="A109" s="29">
        <v>108</v>
      </c>
      <c r="B109" s="29" t="s">
        <v>633</v>
      </c>
      <c r="C109" s="29" t="s">
        <v>634</v>
      </c>
      <c r="D109" s="29" t="s">
        <v>635</v>
      </c>
      <c r="E109" s="29" t="s">
        <v>636</v>
      </c>
      <c r="F109" s="29" t="s">
        <v>637</v>
      </c>
      <c r="G109" s="29">
        <v>1</v>
      </c>
      <c r="H109" s="29">
        <v>1</v>
      </c>
      <c r="I109" s="29">
        <v>0</v>
      </c>
      <c r="J109" s="29"/>
      <c r="K109" s="29"/>
      <c r="L109" s="29"/>
      <c r="M109" s="29" t="s">
        <v>638</v>
      </c>
      <c r="N109" s="29">
        <v>0</v>
      </c>
      <c r="O109" s="29">
        <v>0</v>
      </c>
      <c r="P109" s="29"/>
      <c r="Q109" s="29"/>
      <c r="R109" s="29"/>
      <c r="S109" s="29"/>
    </row>
    <row r="110" spans="1:19" s="46" customFormat="1">
      <c r="A110" s="29">
        <v>109</v>
      </c>
      <c r="B110" s="29" t="s">
        <v>639</v>
      </c>
      <c r="C110" s="29" t="s">
        <v>640</v>
      </c>
      <c r="D110" s="29" t="s">
        <v>641</v>
      </c>
      <c r="E110" s="29"/>
      <c r="F110" s="29"/>
      <c r="G110" s="29">
        <v>1</v>
      </c>
      <c r="H110" s="29">
        <v>0</v>
      </c>
      <c r="I110" s="29">
        <v>0</v>
      </c>
      <c r="J110" s="29"/>
      <c r="K110" s="29"/>
      <c r="L110" s="29"/>
      <c r="M110" s="30" t="s">
        <v>642</v>
      </c>
      <c r="N110" s="30">
        <v>0</v>
      </c>
      <c r="O110" s="29">
        <v>0</v>
      </c>
      <c r="P110" s="29"/>
      <c r="Q110" s="29"/>
      <c r="R110" s="29"/>
      <c r="S110" s="29" t="s">
        <v>33</v>
      </c>
    </row>
    <row r="111" spans="1:19" s="46" customFormat="1">
      <c r="A111" s="29">
        <v>110</v>
      </c>
      <c r="B111" s="29" t="s">
        <v>643</v>
      </c>
      <c r="C111" s="29" t="s">
        <v>644</v>
      </c>
      <c r="D111" s="29" t="s">
        <v>645</v>
      </c>
      <c r="E111" s="29" t="s">
        <v>646</v>
      </c>
      <c r="F111" s="29"/>
      <c r="G111" s="29">
        <v>1</v>
      </c>
      <c r="H111" s="29">
        <v>1</v>
      </c>
      <c r="I111" s="29">
        <v>1</v>
      </c>
      <c r="J111" s="38" t="s">
        <v>647</v>
      </c>
      <c r="K111" s="29"/>
      <c r="L111" s="29"/>
      <c r="M111" s="29"/>
      <c r="N111" s="29">
        <v>1</v>
      </c>
      <c r="O111" s="29">
        <v>1</v>
      </c>
      <c r="P111" s="29">
        <v>2</v>
      </c>
      <c r="Q111" s="29"/>
      <c r="R111" s="29" t="s">
        <v>41</v>
      </c>
      <c r="S111" s="29"/>
    </row>
    <row r="112" spans="1:19" s="46" customFormat="1">
      <c r="A112" s="29">
        <v>111</v>
      </c>
      <c r="B112" s="29" t="s">
        <v>648</v>
      </c>
      <c r="C112" s="29" t="s">
        <v>649</v>
      </c>
      <c r="D112" s="29" t="s">
        <v>650</v>
      </c>
      <c r="E112" s="29" t="s">
        <v>651</v>
      </c>
      <c r="F112" s="29"/>
      <c r="G112" s="29">
        <v>1</v>
      </c>
      <c r="H112" s="29">
        <v>1</v>
      </c>
      <c r="I112" s="29">
        <v>1</v>
      </c>
      <c r="J112" s="38" t="s">
        <v>652</v>
      </c>
      <c r="K112" s="38" t="s">
        <v>653</v>
      </c>
      <c r="L112" s="29"/>
      <c r="M112" s="29"/>
      <c r="N112" s="29">
        <v>1</v>
      </c>
      <c r="O112" s="29">
        <v>1</v>
      </c>
      <c r="P112" s="29"/>
      <c r="Q112" s="29" t="s">
        <v>654</v>
      </c>
      <c r="R112" s="29" t="s">
        <v>41</v>
      </c>
      <c r="S112" s="29"/>
    </row>
    <row r="113" spans="1:19" s="47" customFormat="1">
      <c r="A113" s="29">
        <v>112</v>
      </c>
      <c r="B113" s="29" t="s">
        <v>655</v>
      </c>
      <c r="C113" s="29" t="s">
        <v>656</v>
      </c>
      <c r="D113" s="29" t="s">
        <v>657</v>
      </c>
      <c r="E113" s="29" t="s">
        <v>658</v>
      </c>
      <c r="F113" s="29" t="s">
        <v>659</v>
      </c>
      <c r="G113" s="29">
        <v>1</v>
      </c>
      <c r="H113" s="29">
        <v>1</v>
      </c>
      <c r="I113" s="29">
        <v>1</v>
      </c>
      <c r="J113" s="32" t="s">
        <v>660</v>
      </c>
      <c r="K113" s="29"/>
      <c r="L113" s="29"/>
      <c r="M113" s="29"/>
      <c r="N113" s="29">
        <v>0</v>
      </c>
      <c r="O113" s="29">
        <v>1</v>
      </c>
      <c r="P113" s="29">
        <v>2</v>
      </c>
      <c r="Q113" s="29"/>
      <c r="R113" s="29" t="s">
        <v>41</v>
      </c>
      <c r="S113" s="29"/>
    </row>
    <row r="114" spans="1:19" s="46" customFormat="1">
      <c r="A114" s="29">
        <v>113</v>
      </c>
      <c r="B114" s="29" t="s">
        <v>661</v>
      </c>
      <c r="C114" s="29" t="s">
        <v>662</v>
      </c>
      <c r="D114" s="29" t="s">
        <v>663</v>
      </c>
      <c r="E114" s="29" t="s">
        <v>664</v>
      </c>
      <c r="F114" s="29" t="s">
        <v>665</v>
      </c>
      <c r="G114" s="29">
        <v>1</v>
      </c>
      <c r="H114" s="29">
        <v>1</v>
      </c>
      <c r="I114" s="29">
        <v>1</v>
      </c>
      <c r="J114" s="38" t="s">
        <v>666</v>
      </c>
      <c r="K114" s="29"/>
      <c r="L114" s="29"/>
      <c r="M114" s="29"/>
      <c r="N114" s="29">
        <v>1</v>
      </c>
      <c r="O114" s="29">
        <v>1</v>
      </c>
      <c r="P114" s="29"/>
      <c r="Q114" s="29"/>
      <c r="R114" s="29" t="s">
        <v>41</v>
      </c>
      <c r="S114" s="29"/>
    </row>
    <row r="115" spans="1:19" s="46" customFormat="1">
      <c r="A115" s="29">
        <v>114</v>
      </c>
      <c r="B115" s="29" t="s">
        <v>667</v>
      </c>
      <c r="C115" s="29" t="s">
        <v>668</v>
      </c>
      <c r="D115" s="29" t="s">
        <v>669</v>
      </c>
      <c r="E115" s="29"/>
      <c r="F115" s="38" t="s">
        <v>670</v>
      </c>
      <c r="G115" s="29">
        <v>1</v>
      </c>
      <c r="H115" s="29">
        <v>0</v>
      </c>
      <c r="I115" s="29">
        <v>0</v>
      </c>
      <c r="J115" s="29"/>
      <c r="K115" s="29"/>
      <c r="L115" s="29"/>
      <c r="M115" s="29"/>
      <c r="N115" s="29">
        <v>0</v>
      </c>
      <c r="O115" s="29">
        <v>0</v>
      </c>
      <c r="P115" s="29"/>
      <c r="Q115" s="29" t="s">
        <v>1138</v>
      </c>
      <c r="R115" s="29"/>
      <c r="S115" s="29"/>
    </row>
    <row r="116" spans="1:19" s="46" customFormat="1">
      <c r="A116" s="29">
        <v>115</v>
      </c>
      <c r="B116" s="29" t="s">
        <v>671</v>
      </c>
      <c r="C116" s="29" t="s">
        <v>672</v>
      </c>
      <c r="D116" s="29" t="s">
        <v>673</v>
      </c>
      <c r="E116" s="29" t="s">
        <v>674</v>
      </c>
      <c r="F116" s="29" t="s">
        <v>675</v>
      </c>
      <c r="G116" s="29">
        <v>1</v>
      </c>
      <c r="H116" s="29">
        <v>1</v>
      </c>
      <c r="I116" s="29">
        <v>0</v>
      </c>
      <c r="J116" s="29"/>
      <c r="K116" s="29"/>
      <c r="L116" s="29"/>
      <c r="M116" s="29" t="s">
        <v>676</v>
      </c>
      <c r="N116" s="29">
        <v>0</v>
      </c>
      <c r="O116" s="29">
        <v>0</v>
      </c>
      <c r="P116" s="29"/>
      <c r="Q116" s="29"/>
      <c r="R116" s="29"/>
      <c r="S116" s="29"/>
    </row>
    <row r="117" spans="1:19" s="46" customFormat="1">
      <c r="A117" s="29">
        <v>116</v>
      </c>
      <c r="B117" s="29" t="s">
        <v>677</v>
      </c>
      <c r="C117" s="29" t="s">
        <v>678</v>
      </c>
      <c r="D117" s="29" t="s">
        <v>679</v>
      </c>
      <c r="E117" s="29" t="s">
        <v>680</v>
      </c>
      <c r="F117" s="29" t="s">
        <v>681</v>
      </c>
      <c r="G117" s="29">
        <v>1</v>
      </c>
      <c r="H117" s="29">
        <v>0</v>
      </c>
      <c r="I117" s="29">
        <v>0</v>
      </c>
      <c r="J117" s="29"/>
      <c r="K117" s="29"/>
      <c r="L117" s="29"/>
      <c r="M117" s="29" t="s">
        <v>682</v>
      </c>
      <c r="N117" s="29">
        <v>0</v>
      </c>
      <c r="O117" s="29">
        <v>0</v>
      </c>
      <c r="P117" s="29"/>
      <c r="Q117" s="29"/>
      <c r="R117" s="29"/>
      <c r="S117" s="29"/>
    </row>
    <row r="118" spans="1:19" s="45" customFormat="1">
      <c r="A118" s="29">
        <v>117</v>
      </c>
      <c r="B118" s="29" t="s">
        <v>683</v>
      </c>
      <c r="C118" s="29" t="s">
        <v>684</v>
      </c>
      <c r="D118" s="29" t="s">
        <v>685</v>
      </c>
      <c r="E118" s="29" t="s">
        <v>686</v>
      </c>
      <c r="F118" s="29" t="s">
        <v>687</v>
      </c>
      <c r="G118" s="29">
        <v>1</v>
      </c>
      <c r="H118" s="29">
        <v>0</v>
      </c>
      <c r="I118" s="29">
        <v>0</v>
      </c>
      <c r="J118" s="29"/>
      <c r="K118" s="29"/>
      <c r="L118" s="29"/>
      <c r="M118" s="29" t="s">
        <v>682</v>
      </c>
      <c r="N118" s="29">
        <v>0</v>
      </c>
      <c r="O118" s="29">
        <v>0</v>
      </c>
      <c r="P118" s="29"/>
      <c r="Q118" s="29"/>
      <c r="R118" s="29"/>
      <c r="S118" s="29" t="s">
        <v>210</v>
      </c>
    </row>
    <row r="119" spans="1:19" s="48" customFormat="1">
      <c r="A119" s="29">
        <v>118</v>
      </c>
      <c r="B119" s="29" t="s">
        <v>688</v>
      </c>
      <c r="C119" s="29" t="s">
        <v>689</v>
      </c>
      <c r="D119" s="29" t="s">
        <v>690</v>
      </c>
      <c r="E119" s="29" t="s">
        <v>691</v>
      </c>
      <c r="F119" s="29" t="s">
        <v>692</v>
      </c>
      <c r="G119" s="29">
        <v>1</v>
      </c>
      <c r="H119" s="29">
        <v>1</v>
      </c>
      <c r="I119" s="29">
        <v>0</v>
      </c>
      <c r="J119" s="29"/>
      <c r="K119" s="29"/>
      <c r="L119" s="29"/>
      <c r="M119" s="29" t="s">
        <v>693</v>
      </c>
      <c r="N119" s="29">
        <v>0</v>
      </c>
      <c r="O119" s="29">
        <v>0</v>
      </c>
      <c r="P119" s="29"/>
      <c r="Q119" s="29"/>
      <c r="R119" s="29"/>
      <c r="S119" s="29"/>
    </row>
    <row r="120" spans="1:19" s="48" customFormat="1">
      <c r="A120" s="29">
        <v>119</v>
      </c>
      <c r="B120" s="29" t="s">
        <v>694</v>
      </c>
      <c r="C120" s="29"/>
      <c r="D120" s="29" t="s">
        <v>695</v>
      </c>
      <c r="E120" s="29" t="s">
        <v>696</v>
      </c>
      <c r="F120" s="29" t="s">
        <v>697</v>
      </c>
      <c r="G120" s="29">
        <v>3</v>
      </c>
      <c r="H120" s="29">
        <v>1</v>
      </c>
      <c r="I120" s="29">
        <v>1</v>
      </c>
      <c r="J120" s="30" t="s">
        <v>698</v>
      </c>
      <c r="K120" s="29"/>
      <c r="L120" s="29" t="s">
        <v>699</v>
      </c>
      <c r="M120" s="29"/>
      <c r="N120" s="29">
        <v>1</v>
      </c>
      <c r="O120" s="29">
        <v>1</v>
      </c>
      <c r="P120" s="29"/>
      <c r="Q120" s="29"/>
      <c r="R120" s="29" t="s">
        <v>41</v>
      </c>
      <c r="S120" s="29"/>
    </row>
    <row r="121" spans="1:19" s="48" customFormat="1">
      <c r="A121" s="29">
        <v>120</v>
      </c>
      <c r="B121" s="29" t="s">
        <v>700</v>
      </c>
      <c r="C121" s="29"/>
      <c r="D121" s="29" t="s">
        <v>701</v>
      </c>
      <c r="E121" s="29"/>
      <c r="F121" s="29"/>
      <c r="G121" s="29">
        <v>1</v>
      </c>
      <c r="H121" s="29">
        <v>1</v>
      </c>
      <c r="I121" s="29">
        <v>0</v>
      </c>
      <c r="J121" s="29"/>
      <c r="K121" s="29"/>
      <c r="L121" s="29"/>
      <c r="M121" s="30" t="s">
        <v>702</v>
      </c>
      <c r="N121" s="30">
        <v>0</v>
      </c>
      <c r="O121" s="29">
        <v>0</v>
      </c>
      <c r="P121" s="29"/>
      <c r="Q121" s="29"/>
      <c r="R121" s="29"/>
      <c r="S121" s="29" t="s">
        <v>33</v>
      </c>
    </row>
    <row r="122" spans="1:19" s="48" customFormat="1">
      <c r="A122" s="29">
        <v>121</v>
      </c>
      <c r="B122" s="29" t="s">
        <v>703</v>
      </c>
      <c r="C122" s="29" t="s">
        <v>704</v>
      </c>
      <c r="D122" s="29" t="s">
        <v>705</v>
      </c>
      <c r="E122" s="29" t="s">
        <v>706</v>
      </c>
      <c r="F122" s="29" t="s">
        <v>707</v>
      </c>
      <c r="G122" s="29">
        <v>1</v>
      </c>
      <c r="H122" s="29">
        <v>0</v>
      </c>
      <c r="I122" s="29">
        <v>0</v>
      </c>
      <c r="J122" s="29"/>
      <c r="K122" s="29"/>
      <c r="L122" s="29"/>
      <c r="M122" s="29" t="s">
        <v>708</v>
      </c>
      <c r="N122" s="29">
        <v>0</v>
      </c>
      <c r="O122" s="29">
        <v>0</v>
      </c>
      <c r="P122" s="29"/>
      <c r="Q122" s="29"/>
      <c r="R122" s="29"/>
      <c r="S122" s="29"/>
    </row>
    <row r="123" spans="1:19" s="46" customFormat="1">
      <c r="A123" s="29">
        <v>122</v>
      </c>
      <c r="B123" s="29" t="s">
        <v>709</v>
      </c>
      <c r="C123" s="29" t="s">
        <v>710</v>
      </c>
      <c r="D123" s="29" t="s">
        <v>711</v>
      </c>
      <c r="E123" s="29" t="s">
        <v>712</v>
      </c>
      <c r="F123" s="29" t="s">
        <v>713</v>
      </c>
      <c r="G123" s="29">
        <v>1</v>
      </c>
      <c r="H123" s="29">
        <v>1</v>
      </c>
      <c r="I123" s="29">
        <v>0</v>
      </c>
      <c r="J123" s="29"/>
      <c r="K123" s="29"/>
      <c r="L123" s="29"/>
      <c r="M123" s="29" t="s">
        <v>714</v>
      </c>
      <c r="N123" s="29">
        <v>0</v>
      </c>
      <c r="O123" s="29">
        <v>0</v>
      </c>
      <c r="P123" s="29"/>
      <c r="Q123" s="29"/>
      <c r="R123" s="29"/>
      <c r="S123" s="29"/>
    </row>
    <row r="124" spans="1:19" s="46" customFormat="1">
      <c r="A124" s="29">
        <v>123</v>
      </c>
      <c r="B124" s="38" t="s">
        <v>715</v>
      </c>
      <c r="C124" s="29" t="s">
        <v>716</v>
      </c>
      <c r="D124" s="29" t="s">
        <v>717</v>
      </c>
      <c r="E124" s="29" t="s">
        <v>718</v>
      </c>
      <c r="F124" s="29" t="s">
        <v>719</v>
      </c>
      <c r="G124" s="29">
        <v>1</v>
      </c>
      <c r="H124" s="29">
        <v>1</v>
      </c>
      <c r="I124" s="29">
        <v>1</v>
      </c>
      <c r="J124" s="30" t="s">
        <v>720</v>
      </c>
      <c r="K124" s="29"/>
      <c r="L124" s="29" t="s">
        <v>721</v>
      </c>
      <c r="M124" s="29"/>
      <c r="N124" s="29">
        <v>1</v>
      </c>
      <c r="O124" s="29">
        <v>1</v>
      </c>
      <c r="P124" s="29"/>
      <c r="Q124" s="29"/>
      <c r="R124" s="29" t="s">
        <v>41</v>
      </c>
      <c r="S124" s="29"/>
    </row>
    <row r="125" spans="1:19" s="46" customFormat="1">
      <c r="A125" s="29">
        <v>124</v>
      </c>
      <c r="B125" s="29" t="s">
        <v>722</v>
      </c>
      <c r="C125" s="29" t="s">
        <v>723</v>
      </c>
      <c r="D125" s="29" t="s">
        <v>724</v>
      </c>
      <c r="E125" s="29" t="s">
        <v>725</v>
      </c>
      <c r="F125" s="29" t="s">
        <v>726</v>
      </c>
      <c r="G125" s="29">
        <v>1</v>
      </c>
      <c r="H125" s="29">
        <v>1</v>
      </c>
      <c r="I125" s="29">
        <v>0</v>
      </c>
      <c r="J125" s="29"/>
      <c r="K125" s="29"/>
      <c r="L125" s="29"/>
      <c r="M125" s="29" t="s">
        <v>727</v>
      </c>
      <c r="N125" s="29">
        <v>0</v>
      </c>
      <c r="O125" s="29">
        <v>0</v>
      </c>
      <c r="P125" s="29"/>
      <c r="Q125" s="29"/>
      <c r="R125" s="29"/>
      <c r="S125" s="29"/>
    </row>
    <row r="126" spans="1:19" s="46" customFormat="1">
      <c r="A126" s="29">
        <v>125</v>
      </c>
      <c r="B126" s="29" t="s">
        <v>728</v>
      </c>
      <c r="C126" s="29" t="s">
        <v>729</v>
      </c>
      <c r="D126" s="29" t="s">
        <v>730</v>
      </c>
      <c r="E126" s="29"/>
      <c r="F126" s="29"/>
      <c r="G126" s="29">
        <v>1</v>
      </c>
      <c r="H126" s="29">
        <v>1</v>
      </c>
      <c r="I126" s="29">
        <v>0</v>
      </c>
      <c r="J126" s="29"/>
      <c r="K126" s="29"/>
      <c r="L126" s="29"/>
      <c r="M126" s="29" t="s">
        <v>731</v>
      </c>
      <c r="N126" s="29">
        <v>0</v>
      </c>
      <c r="O126" s="29">
        <v>0</v>
      </c>
      <c r="P126" s="29"/>
      <c r="Q126" s="29"/>
      <c r="R126" s="29"/>
      <c r="S126" s="29" t="s">
        <v>33</v>
      </c>
    </row>
    <row r="127" spans="1:19" s="46" customFormat="1">
      <c r="A127" s="29">
        <v>126</v>
      </c>
      <c r="B127" s="29" t="s">
        <v>732</v>
      </c>
      <c r="C127" s="29" t="s">
        <v>733</v>
      </c>
      <c r="D127" s="29" t="s">
        <v>734</v>
      </c>
      <c r="E127" s="29" t="s">
        <v>735</v>
      </c>
      <c r="F127" s="29" t="s">
        <v>736</v>
      </c>
      <c r="G127" s="29">
        <v>1</v>
      </c>
      <c r="H127" s="29">
        <v>1</v>
      </c>
      <c r="I127" s="29" t="s">
        <v>737</v>
      </c>
      <c r="J127" s="29" t="s">
        <v>738</v>
      </c>
      <c r="K127" s="29"/>
      <c r="L127" s="29"/>
      <c r="M127" s="29" t="s">
        <v>739</v>
      </c>
      <c r="N127" s="29">
        <v>0</v>
      </c>
      <c r="O127" s="29">
        <v>0</v>
      </c>
      <c r="P127" s="29"/>
      <c r="Q127" s="29"/>
      <c r="R127" s="29"/>
      <c r="S127" s="29" t="s">
        <v>740</v>
      </c>
    </row>
    <row r="128" spans="1:19" s="46" customFormat="1">
      <c r="A128" s="29">
        <v>127</v>
      </c>
      <c r="B128" s="29" t="s">
        <v>741</v>
      </c>
      <c r="C128" s="29" t="s">
        <v>742</v>
      </c>
      <c r="D128" s="29" t="s">
        <v>743</v>
      </c>
      <c r="E128" s="29" t="s">
        <v>744</v>
      </c>
      <c r="F128" s="29" t="s">
        <v>745</v>
      </c>
      <c r="G128" s="29">
        <v>1</v>
      </c>
      <c r="H128" s="29">
        <v>1</v>
      </c>
      <c r="I128" s="29" t="s">
        <v>737</v>
      </c>
      <c r="J128" s="29" t="s">
        <v>746</v>
      </c>
      <c r="K128" s="29"/>
      <c r="L128" s="29"/>
      <c r="M128" s="29" t="s">
        <v>739</v>
      </c>
      <c r="N128" s="29">
        <v>0</v>
      </c>
      <c r="O128" s="29">
        <v>0</v>
      </c>
      <c r="P128" s="29"/>
      <c r="Q128" s="29"/>
      <c r="R128" s="29"/>
      <c r="S128" s="29" t="s">
        <v>740</v>
      </c>
    </row>
    <row r="129" spans="1:19" s="46" customFormat="1">
      <c r="A129" s="29">
        <v>128</v>
      </c>
      <c r="B129" s="29" t="s">
        <v>747</v>
      </c>
      <c r="C129" s="29" t="s">
        <v>742</v>
      </c>
      <c r="D129" s="29" t="s">
        <v>748</v>
      </c>
      <c r="E129" s="29" t="s">
        <v>45</v>
      </c>
      <c r="F129" s="29"/>
      <c r="G129" s="29">
        <v>1</v>
      </c>
      <c r="H129" s="29">
        <v>1</v>
      </c>
      <c r="I129" s="29">
        <v>0</v>
      </c>
      <c r="J129" s="29"/>
      <c r="K129" s="29"/>
      <c r="L129" s="29"/>
      <c r="M129" s="29" t="s">
        <v>739</v>
      </c>
      <c r="N129" s="29">
        <v>0</v>
      </c>
      <c r="O129" s="29">
        <v>0</v>
      </c>
      <c r="P129" s="29"/>
      <c r="Q129" s="29"/>
      <c r="R129" s="29"/>
      <c r="S129" s="29" t="s">
        <v>33</v>
      </c>
    </row>
    <row r="130" spans="1:19" s="47" customFormat="1">
      <c r="A130" s="29">
        <v>129</v>
      </c>
      <c r="B130" s="29" t="s">
        <v>749</v>
      </c>
      <c r="C130" s="29" t="s">
        <v>750</v>
      </c>
      <c r="D130" s="29" t="s">
        <v>751</v>
      </c>
      <c r="E130" s="29" t="s">
        <v>752</v>
      </c>
      <c r="F130" s="29" t="s">
        <v>753</v>
      </c>
      <c r="G130" s="29">
        <v>1</v>
      </c>
      <c r="H130" s="29">
        <v>1</v>
      </c>
      <c r="I130" s="29" t="s">
        <v>737</v>
      </c>
      <c r="J130" s="29" t="s">
        <v>754</v>
      </c>
      <c r="K130" s="29"/>
      <c r="L130" s="29"/>
      <c r="M130" s="29" t="s">
        <v>739</v>
      </c>
      <c r="N130" s="29">
        <v>0</v>
      </c>
      <c r="O130" s="29">
        <v>0</v>
      </c>
      <c r="P130" s="29"/>
      <c r="Q130" s="29"/>
      <c r="R130" s="29"/>
      <c r="S130" s="29" t="s">
        <v>740</v>
      </c>
    </row>
    <row r="131" spans="1:19" s="47" customFormat="1">
      <c r="A131" s="29">
        <v>130</v>
      </c>
      <c r="B131" s="29" t="s">
        <v>755</v>
      </c>
      <c r="C131" s="29" t="s">
        <v>756</v>
      </c>
      <c r="D131" s="29" t="s">
        <v>757</v>
      </c>
      <c r="E131" s="29" t="s">
        <v>758</v>
      </c>
      <c r="F131" s="29" t="s">
        <v>759</v>
      </c>
      <c r="G131" s="29">
        <v>1</v>
      </c>
      <c r="H131" s="29">
        <v>1</v>
      </c>
      <c r="I131" s="29">
        <v>0</v>
      </c>
      <c r="J131" s="29"/>
      <c r="K131" s="29"/>
      <c r="L131" s="29"/>
      <c r="M131" s="29" t="s">
        <v>760</v>
      </c>
      <c r="N131" s="29">
        <v>0</v>
      </c>
      <c r="O131" s="29">
        <v>0</v>
      </c>
      <c r="P131" s="29"/>
      <c r="Q131" s="29"/>
      <c r="R131" s="29"/>
      <c r="S131" s="29"/>
    </row>
    <row r="132" spans="1:19" s="46" customFormat="1">
      <c r="A132" s="29">
        <v>131</v>
      </c>
      <c r="B132" s="29" t="s">
        <v>761</v>
      </c>
      <c r="C132" s="29" t="s">
        <v>762</v>
      </c>
      <c r="D132" s="29" t="s">
        <v>763</v>
      </c>
      <c r="E132" s="29" t="s">
        <v>764</v>
      </c>
      <c r="F132" s="29" t="s">
        <v>765</v>
      </c>
      <c r="G132" s="29">
        <v>1</v>
      </c>
      <c r="H132" s="29">
        <v>1</v>
      </c>
      <c r="I132" s="29">
        <v>0</v>
      </c>
      <c r="J132" s="29"/>
      <c r="K132" s="29"/>
      <c r="L132" s="29"/>
      <c r="M132" s="29" t="s">
        <v>766</v>
      </c>
      <c r="N132" s="29">
        <v>0</v>
      </c>
      <c r="O132" s="29">
        <v>0</v>
      </c>
      <c r="P132" s="29"/>
      <c r="Q132" s="29"/>
      <c r="R132" s="29"/>
      <c r="S132" s="29"/>
    </row>
    <row r="133" spans="1:19" s="46" customFormat="1">
      <c r="A133" s="29">
        <v>132</v>
      </c>
      <c r="B133" s="29" t="s">
        <v>767</v>
      </c>
      <c r="C133" s="29" t="s">
        <v>768</v>
      </c>
      <c r="D133" s="29" t="s">
        <v>769</v>
      </c>
      <c r="E133" s="29" t="s">
        <v>770</v>
      </c>
      <c r="F133" s="29" t="s">
        <v>771</v>
      </c>
      <c r="G133" s="29">
        <v>1</v>
      </c>
      <c r="H133" s="29">
        <v>1</v>
      </c>
      <c r="I133" s="29">
        <v>0</v>
      </c>
      <c r="J133" s="29"/>
      <c r="K133" s="29"/>
      <c r="L133" s="29"/>
      <c r="M133" s="30" t="s">
        <v>772</v>
      </c>
      <c r="N133" s="30">
        <v>0</v>
      </c>
      <c r="O133" s="29">
        <v>0</v>
      </c>
      <c r="P133" s="29"/>
      <c r="Q133" s="29"/>
      <c r="R133" s="29"/>
      <c r="S133" s="29"/>
    </row>
    <row r="134" spans="1:19" s="46" customFormat="1">
      <c r="A134" s="29">
        <v>133</v>
      </c>
      <c r="B134" s="29" t="s">
        <v>773</v>
      </c>
      <c r="C134" s="29" t="s">
        <v>774</v>
      </c>
      <c r="D134" s="29" t="s">
        <v>775</v>
      </c>
      <c r="E134" s="29" t="s">
        <v>776</v>
      </c>
      <c r="F134" s="29" t="s">
        <v>777</v>
      </c>
      <c r="G134" s="29">
        <v>1</v>
      </c>
      <c r="H134" s="29">
        <v>1</v>
      </c>
      <c r="I134" s="29">
        <v>0</v>
      </c>
      <c r="J134" s="29"/>
      <c r="K134" s="29"/>
      <c r="L134" s="29"/>
      <c r="M134" s="29"/>
      <c r="N134" s="29">
        <v>0</v>
      </c>
      <c r="O134" s="29">
        <v>0</v>
      </c>
      <c r="P134" s="29"/>
      <c r="Q134" s="30" t="s">
        <v>778</v>
      </c>
      <c r="R134" s="29"/>
      <c r="S134" s="29"/>
    </row>
    <row r="135" spans="1:19" s="46" customFormat="1">
      <c r="A135" s="29">
        <v>134</v>
      </c>
      <c r="B135" s="29" t="s">
        <v>779</v>
      </c>
      <c r="C135" s="29" t="s">
        <v>780</v>
      </c>
      <c r="D135" s="29" t="s">
        <v>781</v>
      </c>
      <c r="E135" s="29" t="s">
        <v>782</v>
      </c>
      <c r="F135" s="29" t="s">
        <v>783</v>
      </c>
      <c r="G135" s="29">
        <v>1</v>
      </c>
      <c r="H135" s="29">
        <v>1</v>
      </c>
      <c r="I135" s="29">
        <v>0</v>
      </c>
      <c r="J135" s="29"/>
      <c r="K135" s="29"/>
      <c r="L135" s="29"/>
      <c r="M135" s="29" t="s">
        <v>784</v>
      </c>
      <c r="N135" s="29">
        <v>0</v>
      </c>
      <c r="O135" s="29">
        <v>0</v>
      </c>
      <c r="P135" s="29"/>
      <c r="Q135" s="29"/>
      <c r="R135" s="29"/>
      <c r="S135" s="29" t="s">
        <v>785</v>
      </c>
    </row>
    <row r="136" spans="1:19" s="46" customFormat="1">
      <c r="A136" s="29">
        <v>135</v>
      </c>
      <c r="B136" s="29" t="s">
        <v>786</v>
      </c>
      <c r="C136" s="29" t="s">
        <v>787</v>
      </c>
      <c r="D136" s="29" t="s">
        <v>788</v>
      </c>
      <c r="E136" s="29" t="s">
        <v>789</v>
      </c>
      <c r="F136" s="29" t="s">
        <v>790</v>
      </c>
      <c r="G136" s="29">
        <v>1</v>
      </c>
      <c r="H136" s="29">
        <v>1</v>
      </c>
      <c r="I136" s="29">
        <v>0</v>
      </c>
      <c r="J136" s="29"/>
      <c r="K136" s="29"/>
      <c r="L136" s="29"/>
      <c r="M136" s="29" t="s">
        <v>221</v>
      </c>
      <c r="N136" s="29">
        <v>0</v>
      </c>
      <c r="O136" s="29">
        <v>0</v>
      </c>
      <c r="P136" s="29"/>
      <c r="Q136" s="29"/>
      <c r="R136" s="29"/>
      <c r="S136" s="29"/>
    </row>
    <row r="137" spans="1:19" s="46" customFormat="1">
      <c r="A137" s="29">
        <v>136</v>
      </c>
      <c r="B137" s="29" t="s">
        <v>791</v>
      </c>
      <c r="C137" s="29" t="s">
        <v>792</v>
      </c>
      <c r="D137" s="29" t="s">
        <v>793</v>
      </c>
      <c r="E137" s="29" t="s">
        <v>794</v>
      </c>
      <c r="F137" s="29" t="s">
        <v>795</v>
      </c>
      <c r="G137" s="29">
        <v>1</v>
      </c>
      <c r="H137" s="29">
        <v>1</v>
      </c>
      <c r="I137" s="29">
        <v>0</v>
      </c>
      <c r="J137" s="29"/>
      <c r="K137" s="29"/>
      <c r="L137" s="29"/>
      <c r="M137" s="29" t="s">
        <v>796</v>
      </c>
      <c r="N137" s="29">
        <v>0</v>
      </c>
      <c r="O137" s="29">
        <v>0</v>
      </c>
      <c r="P137" s="29"/>
      <c r="Q137" s="29"/>
      <c r="R137" s="29"/>
      <c r="S137" s="29"/>
    </row>
    <row r="138" spans="1:19" s="46" customFormat="1">
      <c r="A138" s="29">
        <v>137</v>
      </c>
      <c r="B138" s="29" t="s">
        <v>1143</v>
      </c>
      <c r="C138" s="29" t="s">
        <v>797</v>
      </c>
      <c r="D138" s="29" t="s">
        <v>1142</v>
      </c>
      <c r="E138" s="29" t="s">
        <v>798</v>
      </c>
      <c r="F138" s="27" t="s">
        <v>799</v>
      </c>
      <c r="G138" s="29">
        <v>1</v>
      </c>
      <c r="H138" s="29" t="s">
        <v>737</v>
      </c>
      <c r="I138" s="29">
        <v>0</v>
      </c>
      <c r="J138" s="29"/>
      <c r="K138" s="29"/>
      <c r="L138" s="29"/>
      <c r="M138" s="29"/>
      <c r="N138" s="29">
        <v>0</v>
      </c>
      <c r="O138" s="29">
        <v>0</v>
      </c>
      <c r="P138" s="29"/>
      <c r="Q138" s="29" t="s">
        <v>1139</v>
      </c>
      <c r="R138" s="29"/>
      <c r="S138" s="29" t="s">
        <v>800</v>
      </c>
    </row>
    <row r="139" spans="1:19" s="46" customFormat="1">
      <c r="A139" s="29">
        <v>138</v>
      </c>
      <c r="B139" s="29" t="s">
        <v>801</v>
      </c>
      <c r="C139" s="29" t="s">
        <v>802</v>
      </c>
      <c r="D139" s="29" t="s">
        <v>803</v>
      </c>
      <c r="E139" s="29" t="s">
        <v>804</v>
      </c>
      <c r="F139" s="29" t="s">
        <v>805</v>
      </c>
      <c r="G139" s="29">
        <v>1</v>
      </c>
      <c r="H139" s="29">
        <v>1</v>
      </c>
      <c r="I139" s="29" t="s">
        <v>660</v>
      </c>
      <c r="J139" s="29" t="s">
        <v>806</v>
      </c>
      <c r="K139" s="29"/>
      <c r="L139" s="29"/>
      <c r="M139" s="29" t="s">
        <v>807</v>
      </c>
      <c r="N139" s="29">
        <v>1</v>
      </c>
      <c r="O139" s="29">
        <v>0</v>
      </c>
      <c r="P139" s="29"/>
      <c r="Q139" s="29"/>
      <c r="R139" s="29"/>
      <c r="S139" s="29" t="s">
        <v>808</v>
      </c>
    </row>
    <row r="140" spans="1:19" s="46" customFormat="1">
      <c r="A140" s="29">
        <v>139</v>
      </c>
      <c r="B140" s="29" t="s">
        <v>809</v>
      </c>
      <c r="C140" s="29" t="s">
        <v>810</v>
      </c>
      <c r="D140" s="29" t="s">
        <v>811</v>
      </c>
      <c r="E140" s="29" t="s">
        <v>812</v>
      </c>
      <c r="F140" s="29" t="s">
        <v>813</v>
      </c>
      <c r="G140" s="29">
        <v>1</v>
      </c>
      <c r="H140" s="29">
        <v>0</v>
      </c>
      <c r="I140" s="29">
        <v>0</v>
      </c>
      <c r="J140" s="29"/>
      <c r="K140" s="29"/>
      <c r="L140" s="29"/>
      <c r="M140" s="29" t="s">
        <v>814</v>
      </c>
      <c r="N140" s="29">
        <v>0</v>
      </c>
      <c r="O140" s="29">
        <v>0</v>
      </c>
      <c r="P140" s="29"/>
      <c r="Q140" s="29"/>
      <c r="R140" s="29"/>
      <c r="S140" s="29"/>
    </row>
    <row r="141" spans="1:19" s="45" customFormat="1">
      <c r="A141" s="29">
        <v>140</v>
      </c>
      <c r="B141" s="29" t="s">
        <v>815</v>
      </c>
      <c r="C141" s="29" t="s">
        <v>816</v>
      </c>
      <c r="D141" s="29" t="s">
        <v>817</v>
      </c>
      <c r="E141" s="29" t="s">
        <v>818</v>
      </c>
      <c r="F141" s="29" t="s">
        <v>819</v>
      </c>
      <c r="G141" s="29">
        <v>1</v>
      </c>
      <c r="H141" s="29">
        <v>0</v>
      </c>
      <c r="I141" s="29">
        <v>0</v>
      </c>
      <c r="J141" s="29"/>
      <c r="K141" s="29"/>
      <c r="L141" s="29"/>
      <c r="M141" s="29" t="s">
        <v>814</v>
      </c>
      <c r="N141" s="29">
        <v>0</v>
      </c>
      <c r="O141" s="29">
        <v>0</v>
      </c>
      <c r="P141" s="29"/>
      <c r="Q141" s="29"/>
      <c r="R141" s="29"/>
      <c r="S141" s="29"/>
    </row>
    <row r="142" spans="1:19" s="45" customFormat="1">
      <c r="A142" s="29">
        <v>141</v>
      </c>
      <c r="B142" s="29" t="s">
        <v>820</v>
      </c>
      <c r="C142" s="29" t="s">
        <v>821</v>
      </c>
      <c r="D142" s="29" t="s">
        <v>822</v>
      </c>
      <c r="E142" s="29" t="s">
        <v>823</v>
      </c>
      <c r="F142" s="29" t="s">
        <v>824</v>
      </c>
      <c r="G142" s="29">
        <v>1</v>
      </c>
      <c r="H142" s="29">
        <v>1</v>
      </c>
      <c r="I142" s="29">
        <v>0</v>
      </c>
      <c r="J142" s="29"/>
      <c r="K142" s="29"/>
      <c r="L142" s="29"/>
      <c r="M142" s="29"/>
      <c r="N142" s="29">
        <v>0</v>
      </c>
      <c r="O142" s="29">
        <v>0</v>
      </c>
      <c r="P142" s="29"/>
      <c r="Q142" s="29" t="s">
        <v>825</v>
      </c>
      <c r="R142" s="29"/>
      <c r="S142" s="29"/>
    </row>
    <row r="143" spans="1:19" s="46" customFormat="1">
      <c r="A143" s="29">
        <v>142</v>
      </c>
      <c r="B143" s="29" t="s">
        <v>826</v>
      </c>
      <c r="C143" s="29" t="s">
        <v>827</v>
      </c>
      <c r="D143" s="29" t="s">
        <v>828</v>
      </c>
      <c r="E143" s="29" t="s">
        <v>45</v>
      </c>
      <c r="F143" s="29"/>
      <c r="G143" s="29">
        <v>1</v>
      </c>
      <c r="H143" s="29">
        <v>0</v>
      </c>
      <c r="I143" s="29">
        <v>0</v>
      </c>
      <c r="J143" s="29"/>
      <c r="K143" s="29"/>
      <c r="L143" s="29"/>
      <c r="M143" s="29"/>
      <c r="N143" s="29">
        <v>0</v>
      </c>
      <c r="O143" s="29">
        <v>0</v>
      </c>
      <c r="P143" s="29"/>
      <c r="Q143" s="29" t="s">
        <v>825</v>
      </c>
      <c r="R143" s="29"/>
      <c r="S143" s="29" t="s">
        <v>33</v>
      </c>
    </row>
    <row r="144" spans="1:19" s="46" customFormat="1">
      <c r="A144" s="29">
        <v>143</v>
      </c>
      <c r="B144" s="29" t="s">
        <v>829</v>
      </c>
      <c r="C144" s="29" t="s">
        <v>830</v>
      </c>
      <c r="D144" s="29" t="s">
        <v>831</v>
      </c>
      <c r="E144" s="29" t="s">
        <v>832</v>
      </c>
      <c r="F144" s="29" t="s">
        <v>833</v>
      </c>
      <c r="G144" s="29">
        <v>1</v>
      </c>
      <c r="H144" s="29">
        <v>0</v>
      </c>
      <c r="I144" s="29">
        <v>0</v>
      </c>
      <c r="J144" s="29"/>
      <c r="K144" s="29"/>
      <c r="L144" s="29"/>
      <c r="M144" s="29"/>
      <c r="N144" s="29">
        <v>0</v>
      </c>
      <c r="O144" s="29">
        <v>0</v>
      </c>
      <c r="P144" s="29"/>
      <c r="Q144" s="29" t="s">
        <v>1139</v>
      </c>
      <c r="R144" s="29"/>
      <c r="S144" s="29"/>
    </row>
    <row r="145" spans="1:19" s="46" customFormat="1">
      <c r="A145" s="29">
        <v>144</v>
      </c>
      <c r="B145" s="29" t="s">
        <v>834</v>
      </c>
      <c r="C145" s="29" t="s">
        <v>835</v>
      </c>
      <c r="D145" s="29" t="s">
        <v>836</v>
      </c>
      <c r="E145" s="29" t="s">
        <v>837</v>
      </c>
      <c r="F145" s="29" t="s">
        <v>838</v>
      </c>
      <c r="G145" s="29">
        <v>1</v>
      </c>
      <c r="H145" s="29">
        <v>1</v>
      </c>
      <c r="I145" s="29">
        <v>0</v>
      </c>
      <c r="J145" s="29"/>
      <c r="K145" s="29"/>
      <c r="L145" s="29"/>
      <c r="M145" s="29" t="s">
        <v>839</v>
      </c>
      <c r="N145" s="29">
        <v>0</v>
      </c>
      <c r="O145" s="29">
        <v>0</v>
      </c>
      <c r="P145" s="29"/>
      <c r="Q145" s="29"/>
      <c r="R145" s="29"/>
      <c r="S145" s="29"/>
    </row>
    <row r="146" spans="1:19" s="45" customFormat="1">
      <c r="A146" s="29">
        <v>145</v>
      </c>
      <c r="B146" s="29" t="s">
        <v>840</v>
      </c>
      <c r="C146" s="29" t="s">
        <v>841</v>
      </c>
      <c r="D146" s="29" t="s">
        <v>842</v>
      </c>
      <c r="E146" s="29" t="s">
        <v>843</v>
      </c>
      <c r="F146" s="29" t="s">
        <v>844</v>
      </c>
      <c r="G146" s="29">
        <v>1</v>
      </c>
      <c r="H146" s="29">
        <v>1</v>
      </c>
      <c r="I146" s="29">
        <v>1</v>
      </c>
      <c r="J146" s="29"/>
      <c r="K146" s="29"/>
      <c r="L146" s="29"/>
      <c r="M146" s="30" t="s">
        <v>845</v>
      </c>
      <c r="N146" s="30">
        <v>0</v>
      </c>
      <c r="O146" s="29">
        <v>0</v>
      </c>
      <c r="P146" s="29"/>
      <c r="Q146" s="29"/>
      <c r="R146" s="29"/>
      <c r="S146" s="29"/>
    </row>
    <row r="147" spans="1:19" s="46" customFormat="1">
      <c r="A147" s="29">
        <v>146</v>
      </c>
      <c r="B147" s="29" t="s">
        <v>846</v>
      </c>
      <c r="C147" s="29" t="s">
        <v>847</v>
      </c>
      <c r="D147" s="29" t="s">
        <v>848</v>
      </c>
      <c r="E147" s="29" t="s">
        <v>849</v>
      </c>
      <c r="F147" s="29" t="s">
        <v>850</v>
      </c>
      <c r="G147" s="29">
        <v>1</v>
      </c>
      <c r="H147" s="29">
        <v>1</v>
      </c>
      <c r="I147" s="29">
        <v>0</v>
      </c>
      <c r="J147" s="29"/>
      <c r="K147" s="29"/>
      <c r="L147" s="29"/>
      <c r="M147" s="29" t="s">
        <v>851</v>
      </c>
      <c r="N147" s="29">
        <v>0</v>
      </c>
      <c r="O147" s="29">
        <v>0</v>
      </c>
      <c r="P147" s="29"/>
      <c r="Q147" s="29"/>
      <c r="R147" s="29"/>
      <c r="S147" s="29"/>
    </row>
    <row r="148" spans="1:19" s="45" customFormat="1">
      <c r="A148" s="29">
        <v>147</v>
      </c>
      <c r="B148" s="29" t="s">
        <v>852</v>
      </c>
      <c r="C148" s="29" t="s">
        <v>853</v>
      </c>
      <c r="D148" s="29" t="s">
        <v>854</v>
      </c>
      <c r="E148" s="29" t="s">
        <v>855</v>
      </c>
      <c r="F148" s="29" t="s">
        <v>856</v>
      </c>
      <c r="G148" s="29">
        <v>1</v>
      </c>
      <c r="H148" s="29">
        <v>1</v>
      </c>
      <c r="I148" s="29">
        <v>0</v>
      </c>
      <c r="J148" s="29"/>
      <c r="K148" s="29"/>
      <c r="L148" s="29"/>
      <c r="M148" s="29" t="s">
        <v>857</v>
      </c>
      <c r="N148" s="29">
        <v>0</v>
      </c>
      <c r="O148" s="29">
        <v>0</v>
      </c>
      <c r="P148" s="29"/>
      <c r="Q148" s="29"/>
      <c r="R148" s="29"/>
      <c r="S148" s="29"/>
    </row>
    <row r="149" spans="1:19" s="46" customFormat="1">
      <c r="A149" s="29">
        <v>148</v>
      </c>
      <c r="B149" s="29" t="s">
        <v>858</v>
      </c>
      <c r="C149" s="29" t="s">
        <v>859</v>
      </c>
      <c r="D149" s="29" t="s">
        <v>860</v>
      </c>
      <c r="E149" s="29" t="s">
        <v>861</v>
      </c>
      <c r="F149" s="29" t="s">
        <v>862</v>
      </c>
      <c r="G149" s="29">
        <v>1</v>
      </c>
      <c r="H149" s="29">
        <v>1</v>
      </c>
      <c r="I149" s="29">
        <v>0</v>
      </c>
      <c r="J149" s="29"/>
      <c r="K149" s="29"/>
      <c r="L149" s="29"/>
      <c r="M149" s="29" t="s">
        <v>863</v>
      </c>
      <c r="N149" s="29">
        <v>0</v>
      </c>
      <c r="O149" s="29">
        <v>0</v>
      </c>
      <c r="P149" s="29"/>
      <c r="Q149" s="29"/>
      <c r="R149" s="29"/>
      <c r="S149" s="29"/>
    </row>
    <row r="150" spans="1:19" s="48" customFormat="1">
      <c r="A150" s="29">
        <v>149</v>
      </c>
      <c r="B150" s="29" t="s">
        <v>864</v>
      </c>
      <c r="C150" s="29" t="s">
        <v>865</v>
      </c>
      <c r="D150" s="29" t="s">
        <v>866</v>
      </c>
      <c r="E150" s="29" t="s">
        <v>867</v>
      </c>
      <c r="F150" s="29" t="s">
        <v>868</v>
      </c>
      <c r="G150" s="29">
        <v>1</v>
      </c>
      <c r="H150" s="29">
        <v>1</v>
      </c>
      <c r="I150" s="29">
        <v>0</v>
      </c>
      <c r="J150" s="29"/>
      <c r="K150" s="29"/>
      <c r="L150" s="29"/>
      <c r="M150" s="29" t="s">
        <v>863</v>
      </c>
      <c r="N150" s="29">
        <v>0</v>
      </c>
      <c r="O150" s="29">
        <v>0</v>
      </c>
      <c r="P150" s="29"/>
      <c r="Q150" s="29"/>
      <c r="R150" s="29"/>
      <c r="S150" s="29"/>
    </row>
    <row r="151" spans="1:19" s="48" customFormat="1">
      <c r="A151" s="29">
        <v>150</v>
      </c>
      <c r="B151" s="29" t="s">
        <v>869</v>
      </c>
      <c r="C151" s="29" t="s">
        <v>870</v>
      </c>
      <c r="D151" s="29" t="s">
        <v>871</v>
      </c>
      <c r="E151" s="29" t="s">
        <v>872</v>
      </c>
      <c r="F151" s="29" t="s">
        <v>873</v>
      </c>
      <c r="G151" s="29">
        <v>1</v>
      </c>
      <c r="H151" s="29">
        <v>1</v>
      </c>
      <c r="I151" s="29" t="s">
        <v>660</v>
      </c>
      <c r="J151" s="29" t="s">
        <v>874</v>
      </c>
      <c r="K151" s="29"/>
      <c r="L151" s="29"/>
      <c r="M151" s="29" t="s">
        <v>875</v>
      </c>
      <c r="N151" s="29">
        <v>1</v>
      </c>
      <c r="O151" s="29">
        <v>0</v>
      </c>
      <c r="P151" s="29"/>
      <c r="Q151" s="29"/>
      <c r="R151" s="29"/>
      <c r="S151" s="29" t="s">
        <v>808</v>
      </c>
    </row>
    <row r="152" spans="1:19" s="46" customFormat="1">
      <c r="A152" s="29">
        <v>151</v>
      </c>
      <c r="B152" s="29" t="s">
        <v>876</v>
      </c>
      <c r="C152" s="29" t="s">
        <v>877</v>
      </c>
      <c r="D152" s="29" t="s">
        <v>878</v>
      </c>
      <c r="E152" s="29" t="s">
        <v>879</v>
      </c>
      <c r="F152" s="29" t="s">
        <v>880</v>
      </c>
      <c r="G152" s="29">
        <v>1</v>
      </c>
      <c r="H152" s="29">
        <v>1</v>
      </c>
      <c r="I152" s="29">
        <v>0</v>
      </c>
      <c r="J152" s="29"/>
      <c r="K152" s="29"/>
      <c r="L152" s="29"/>
      <c r="M152" s="29" t="s">
        <v>881</v>
      </c>
      <c r="N152" s="29">
        <v>0</v>
      </c>
      <c r="O152" s="29">
        <v>0</v>
      </c>
      <c r="P152" s="29"/>
      <c r="Q152" s="29"/>
      <c r="R152" s="29"/>
      <c r="S152" s="29"/>
    </row>
    <row r="153" spans="1:19" s="46" customFormat="1">
      <c r="A153" s="29">
        <v>152</v>
      </c>
      <c r="B153" s="29" t="s">
        <v>882</v>
      </c>
      <c r="C153" s="29" t="s">
        <v>883</v>
      </c>
      <c r="D153" s="29" t="s">
        <v>884</v>
      </c>
      <c r="E153" s="29" t="s">
        <v>45</v>
      </c>
      <c r="F153" s="29"/>
      <c r="G153" s="29">
        <v>1</v>
      </c>
      <c r="H153" s="29">
        <v>1</v>
      </c>
      <c r="I153" s="29">
        <v>1</v>
      </c>
      <c r="J153" s="30" t="s">
        <v>885</v>
      </c>
      <c r="K153" s="29"/>
      <c r="L153" s="29" t="s">
        <v>886</v>
      </c>
      <c r="M153" s="29"/>
      <c r="N153" s="29">
        <v>1</v>
      </c>
      <c r="O153" s="29">
        <v>1</v>
      </c>
      <c r="P153" s="29">
        <v>2</v>
      </c>
      <c r="Q153" s="29"/>
      <c r="R153" s="29" t="s">
        <v>41</v>
      </c>
      <c r="S153" s="29" t="s">
        <v>33</v>
      </c>
    </row>
    <row r="154" spans="1:19" s="45" customFormat="1">
      <c r="A154" s="29">
        <v>153</v>
      </c>
      <c r="B154" s="29" t="s">
        <v>887</v>
      </c>
      <c r="C154" s="29" t="s">
        <v>888</v>
      </c>
      <c r="D154" s="29" t="s">
        <v>889</v>
      </c>
      <c r="E154" s="29" t="s">
        <v>890</v>
      </c>
      <c r="F154" s="29" t="s">
        <v>891</v>
      </c>
      <c r="G154" s="29">
        <v>1</v>
      </c>
      <c r="H154" s="29">
        <v>0</v>
      </c>
      <c r="I154" s="29">
        <v>1</v>
      </c>
      <c r="J154" s="30" t="s">
        <v>892</v>
      </c>
      <c r="K154" s="29"/>
      <c r="L154" s="29" t="s">
        <v>893</v>
      </c>
      <c r="M154" s="29"/>
      <c r="N154" s="29">
        <v>1</v>
      </c>
      <c r="O154" s="29">
        <v>0</v>
      </c>
      <c r="P154" s="29"/>
      <c r="Q154" s="29" t="s">
        <v>894</v>
      </c>
      <c r="R154" s="29"/>
      <c r="S154" s="29"/>
    </row>
    <row r="155" spans="1:19" s="46" customFormat="1">
      <c r="A155" s="29">
        <v>154</v>
      </c>
      <c r="B155" s="29" t="s">
        <v>895</v>
      </c>
      <c r="C155" s="29" t="s">
        <v>896</v>
      </c>
      <c r="D155" s="29" t="s">
        <v>897</v>
      </c>
      <c r="E155" s="29" t="s">
        <v>898</v>
      </c>
      <c r="F155" s="29" t="s">
        <v>899</v>
      </c>
      <c r="G155" s="29">
        <v>1</v>
      </c>
      <c r="H155" s="29">
        <v>1</v>
      </c>
      <c r="I155" s="29">
        <v>0</v>
      </c>
      <c r="J155" s="29"/>
      <c r="K155" s="29"/>
      <c r="L155" s="29"/>
      <c r="M155" s="29" t="s">
        <v>900</v>
      </c>
      <c r="N155" s="29">
        <v>0</v>
      </c>
      <c r="O155" s="29">
        <v>0</v>
      </c>
      <c r="P155" s="29"/>
      <c r="Q155" s="29"/>
      <c r="R155" s="29"/>
      <c r="S155" s="29"/>
    </row>
    <row r="156" spans="1:19" s="46" customFormat="1">
      <c r="A156" s="29">
        <v>155</v>
      </c>
      <c r="B156" s="29" t="s">
        <v>901</v>
      </c>
      <c r="C156" s="29" t="s">
        <v>902</v>
      </c>
      <c r="D156" s="29" t="s">
        <v>903</v>
      </c>
      <c r="E156" s="29" t="s">
        <v>904</v>
      </c>
      <c r="F156" s="29"/>
      <c r="G156" s="29">
        <v>1</v>
      </c>
      <c r="H156" s="29">
        <v>0</v>
      </c>
      <c r="I156" s="29">
        <v>0</v>
      </c>
      <c r="J156" s="29"/>
      <c r="K156" s="29"/>
      <c r="L156" s="29"/>
      <c r="M156" s="29" t="s">
        <v>905</v>
      </c>
      <c r="N156" s="29">
        <v>0</v>
      </c>
      <c r="O156" s="29">
        <v>0</v>
      </c>
      <c r="P156" s="29"/>
      <c r="Q156" s="29"/>
      <c r="R156" s="29"/>
      <c r="S156" s="29"/>
    </row>
    <row r="157" spans="1:19" s="46" customFormat="1">
      <c r="A157" s="29">
        <v>156</v>
      </c>
      <c r="B157" s="29" t="s">
        <v>1144</v>
      </c>
      <c r="C157" s="29" t="s">
        <v>906</v>
      </c>
      <c r="D157" s="29" t="s">
        <v>907</v>
      </c>
      <c r="E157" s="29"/>
      <c r="F157" s="29"/>
      <c r="G157" s="29">
        <v>1</v>
      </c>
      <c r="H157" s="32">
        <v>0</v>
      </c>
      <c r="I157" s="29">
        <v>0</v>
      </c>
      <c r="J157" s="29"/>
      <c r="K157" s="29"/>
      <c r="L157" s="29"/>
      <c r="M157" s="29"/>
      <c r="N157" s="29">
        <v>0</v>
      </c>
      <c r="O157" s="32"/>
      <c r="P157" s="29"/>
      <c r="Q157" s="29" t="s">
        <v>1135</v>
      </c>
      <c r="R157" s="29"/>
      <c r="S157" s="29" t="s">
        <v>908</v>
      </c>
    </row>
    <row r="158" spans="1:19" s="47" customFormat="1">
      <c r="A158" s="29">
        <v>157</v>
      </c>
      <c r="B158" s="29" t="s">
        <v>909</v>
      </c>
      <c r="C158" s="29" t="s">
        <v>910</v>
      </c>
      <c r="D158" s="29"/>
      <c r="E158" s="29"/>
      <c r="F158" s="29"/>
      <c r="G158" s="29">
        <v>2</v>
      </c>
      <c r="H158" s="29">
        <v>1</v>
      </c>
      <c r="I158" s="29">
        <v>1</v>
      </c>
      <c r="J158" s="29"/>
      <c r="K158" s="29"/>
      <c r="L158" s="29"/>
      <c r="M158" s="29"/>
      <c r="N158" s="29">
        <v>1</v>
      </c>
      <c r="O158" s="29">
        <v>1</v>
      </c>
      <c r="P158" s="29">
        <v>2</v>
      </c>
      <c r="Q158" s="29"/>
      <c r="R158" s="29" t="s">
        <v>41</v>
      </c>
      <c r="S158" s="29"/>
    </row>
    <row r="159" spans="1:19" s="47" customFormat="1">
      <c r="A159" s="29">
        <v>158</v>
      </c>
      <c r="B159" s="29" t="s">
        <v>911</v>
      </c>
      <c r="C159" s="29" t="s">
        <v>912</v>
      </c>
      <c r="D159" s="29"/>
      <c r="E159" s="29"/>
      <c r="F159" s="29"/>
      <c r="G159" s="29">
        <v>2</v>
      </c>
      <c r="H159" s="29">
        <v>0</v>
      </c>
      <c r="I159" s="29">
        <v>0</v>
      </c>
      <c r="J159" s="29"/>
      <c r="K159" s="29"/>
      <c r="L159" s="29"/>
      <c r="M159" s="29"/>
      <c r="N159" s="29">
        <v>0</v>
      </c>
      <c r="O159" s="29">
        <v>1</v>
      </c>
      <c r="P159" s="29">
        <v>2</v>
      </c>
      <c r="Q159" s="29"/>
      <c r="R159" s="29" t="s">
        <v>41</v>
      </c>
      <c r="S159" s="29" t="s">
        <v>33</v>
      </c>
    </row>
    <row r="160" spans="1:19" s="46" customFormat="1">
      <c r="A160" s="29">
        <v>159</v>
      </c>
      <c r="B160" s="29" t="s">
        <v>913</v>
      </c>
      <c r="C160" s="29" t="s">
        <v>914</v>
      </c>
      <c r="D160" s="29"/>
      <c r="E160" s="29"/>
      <c r="F160" s="29"/>
      <c r="G160" s="29">
        <v>2</v>
      </c>
      <c r="H160" s="29">
        <v>1</v>
      </c>
      <c r="I160" s="29">
        <v>1</v>
      </c>
      <c r="J160" s="39" t="s">
        <v>915</v>
      </c>
      <c r="K160" s="29"/>
      <c r="L160" s="29"/>
      <c r="M160" s="29"/>
      <c r="N160" s="29">
        <v>1</v>
      </c>
      <c r="O160" s="29">
        <v>1</v>
      </c>
      <c r="P160" s="29">
        <v>2</v>
      </c>
      <c r="Q160" s="29"/>
      <c r="R160" s="29" t="s">
        <v>41</v>
      </c>
      <c r="S160" s="29"/>
    </row>
    <row r="161" spans="1:19" s="46" customFormat="1">
      <c r="A161" s="29">
        <v>160</v>
      </c>
      <c r="B161" s="29" t="s">
        <v>916</v>
      </c>
      <c r="C161" s="29" t="s">
        <v>917</v>
      </c>
      <c r="D161" s="29"/>
      <c r="E161" s="29"/>
      <c r="F161" s="29"/>
      <c r="G161" s="29">
        <v>2</v>
      </c>
      <c r="H161" s="29">
        <v>0</v>
      </c>
      <c r="I161" s="29">
        <v>0</v>
      </c>
      <c r="J161" s="29"/>
      <c r="K161" s="29"/>
      <c r="L161" s="29"/>
      <c r="M161" s="29"/>
      <c r="N161" s="29">
        <v>0</v>
      </c>
      <c r="O161" s="29">
        <v>1</v>
      </c>
      <c r="P161" s="29">
        <v>2</v>
      </c>
      <c r="Q161" s="29"/>
      <c r="R161" s="29" t="s">
        <v>41</v>
      </c>
      <c r="S161" s="29" t="s">
        <v>918</v>
      </c>
    </row>
    <row r="162" spans="1:19" s="46" customFormat="1">
      <c r="A162" s="29">
        <v>161</v>
      </c>
      <c r="B162" s="29" t="s">
        <v>919</v>
      </c>
      <c r="C162" s="29" t="s">
        <v>920</v>
      </c>
      <c r="D162" s="29"/>
      <c r="E162" s="29"/>
      <c r="F162" s="29"/>
      <c r="G162" s="29">
        <v>2</v>
      </c>
      <c r="H162" s="29">
        <v>0</v>
      </c>
      <c r="I162" s="29">
        <v>0</v>
      </c>
      <c r="J162" s="29"/>
      <c r="K162" s="29"/>
      <c r="L162" s="29"/>
      <c r="M162" s="29"/>
      <c r="N162" s="29">
        <v>0</v>
      </c>
      <c r="O162" s="29">
        <v>1</v>
      </c>
      <c r="P162" s="29">
        <v>2</v>
      </c>
      <c r="Q162" s="32" t="s">
        <v>1140</v>
      </c>
      <c r="R162" s="29" t="s">
        <v>41</v>
      </c>
      <c r="S162" s="29" t="s">
        <v>921</v>
      </c>
    </row>
    <row r="163" spans="1:19" s="46" customFormat="1">
      <c r="A163" s="29">
        <v>162</v>
      </c>
      <c r="B163" s="29" t="s">
        <v>922</v>
      </c>
      <c r="C163" s="29" t="s">
        <v>923</v>
      </c>
      <c r="D163" s="29" t="s">
        <v>924</v>
      </c>
      <c r="E163" s="29"/>
      <c r="F163" s="29"/>
      <c r="G163" s="29">
        <v>3</v>
      </c>
      <c r="H163" s="29">
        <v>1</v>
      </c>
      <c r="I163" s="29">
        <v>0</v>
      </c>
      <c r="J163" s="29"/>
      <c r="K163" s="29"/>
      <c r="L163" s="29"/>
      <c r="M163" s="29"/>
      <c r="N163" s="29">
        <v>0</v>
      </c>
      <c r="O163" s="29">
        <v>1</v>
      </c>
      <c r="P163" s="29"/>
      <c r="Q163" s="29"/>
      <c r="R163" s="29" t="s">
        <v>41</v>
      </c>
      <c r="S163" s="29"/>
    </row>
    <row r="164" spans="1:19" s="46" customFormat="1">
      <c r="A164" s="29">
        <v>163</v>
      </c>
      <c r="B164" s="29" t="s">
        <v>925</v>
      </c>
      <c r="C164" s="29" t="s">
        <v>926</v>
      </c>
      <c r="D164" s="29" t="s">
        <v>927</v>
      </c>
      <c r="E164" s="29"/>
      <c r="F164" s="29"/>
      <c r="G164" s="29">
        <v>3</v>
      </c>
      <c r="H164" s="29">
        <v>1</v>
      </c>
      <c r="I164" s="29" t="s">
        <v>660</v>
      </c>
      <c r="J164" s="29" t="s">
        <v>928</v>
      </c>
      <c r="K164" s="29"/>
      <c r="L164" s="29"/>
      <c r="M164" s="29"/>
      <c r="N164" s="29">
        <v>1</v>
      </c>
      <c r="O164" s="29">
        <v>1</v>
      </c>
      <c r="P164" s="29"/>
      <c r="Q164" s="29"/>
      <c r="R164" s="29" t="s">
        <v>41</v>
      </c>
      <c r="S164" s="29" t="s">
        <v>808</v>
      </c>
    </row>
    <row r="165" spans="1:19" s="46" customFormat="1">
      <c r="A165" s="29">
        <v>164</v>
      </c>
      <c r="B165" s="29" t="s">
        <v>929</v>
      </c>
      <c r="C165" s="29" t="s">
        <v>930</v>
      </c>
      <c r="D165" s="29" t="s">
        <v>931</v>
      </c>
      <c r="E165" s="29"/>
      <c r="F165" s="29" t="s">
        <v>932</v>
      </c>
      <c r="G165" s="29">
        <v>4</v>
      </c>
      <c r="H165" s="29">
        <v>1</v>
      </c>
      <c r="I165" s="29">
        <v>1</v>
      </c>
      <c r="J165" s="29"/>
      <c r="K165" s="29" t="s">
        <v>933</v>
      </c>
      <c r="L165" s="29"/>
      <c r="M165" s="30"/>
      <c r="N165" s="30">
        <v>1</v>
      </c>
      <c r="O165" s="32">
        <v>1</v>
      </c>
      <c r="P165" s="29"/>
      <c r="Q165" s="29"/>
      <c r="R165" s="40">
        <v>44634</v>
      </c>
      <c r="S165" s="29"/>
    </row>
    <row r="166" spans="1:19" s="45" customFormat="1">
      <c r="A166" s="29">
        <v>165</v>
      </c>
      <c r="B166" s="29" t="s">
        <v>1145</v>
      </c>
      <c r="C166" s="29" t="s">
        <v>934</v>
      </c>
      <c r="D166" s="29"/>
      <c r="E166" s="29"/>
      <c r="F166" s="29"/>
      <c r="G166" s="29">
        <v>2</v>
      </c>
      <c r="H166" s="29">
        <v>0</v>
      </c>
      <c r="I166" s="29">
        <v>0</v>
      </c>
      <c r="J166" s="29"/>
      <c r="K166" s="29"/>
      <c r="L166" s="29"/>
      <c r="M166" s="29"/>
      <c r="N166" s="29">
        <v>0</v>
      </c>
      <c r="O166" s="29">
        <v>1</v>
      </c>
      <c r="P166" s="29"/>
      <c r="Q166" s="29"/>
      <c r="R166" s="29" t="s">
        <v>41</v>
      </c>
      <c r="S166" s="29" t="s">
        <v>935</v>
      </c>
    </row>
    <row r="167" spans="1:19">
      <c r="A167" s="29">
        <v>166</v>
      </c>
      <c r="B167" s="29" t="s">
        <v>1145</v>
      </c>
      <c r="C167" s="29" t="s">
        <v>936</v>
      </c>
      <c r="D167" s="29"/>
      <c r="E167" s="29"/>
      <c r="F167" s="29"/>
      <c r="G167" s="29">
        <v>2</v>
      </c>
      <c r="H167" s="29">
        <v>0</v>
      </c>
      <c r="I167" s="29">
        <v>0</v>
      </c>
      <c r="J167" s="29"/>
      <c r="K167" s="29"/>
      <c r="L167" s="29"/>
      <c r="M167" s="29"/>
      <c r="N167" s="29">
        <v>0</v>
      </c>
      <c r="O167" s="29">
        <v>1</v>
      </c>
      <c r="P167" s="29"/>
      <c r="Q167" s="29"/>
      <c r="R167" s="29" t="s">
        <v>41</v>
      </c>
      <c r="S167" s="29" t="s">
        <v>935</v>
      </c>
    </row>
    <row r="168" spans="1:19" s="45" customFormat="1">
      <c r="A168" s="29">
        <v>167</v>
      </c>
      <c r="B168" s="29" t="s">
        <v>1145</v>
      </c>
      <c r="C168" s="29" t="s">
        <v>937</v>
      </c>
      <c r="D168" s="29"/>
      <c r="E168" s="29"/>
      <c r="F168" s="29"/>
      <c r="G168" s="29">
        <v>2</v>
      </c>
      <c r="H168" s="29">
        <v>0</v>
      </c>
      <c r="I168" s="29">
        <v>0</v>
      </c>
      <c r="J168" s="29"/>
      <c r="K168" s="29"/>
      <c r="L168" s="29"/>
      <c r="M168" s="29"/>
      <c r="N168" s="29">
        <v>0</v>
      </c>
      <c r="O168" s="29">
        <v>1</v>
      </c>
      <c r="P168" s="29"/>
      <c r="Q168" s="29"/>
      <c r="R168" s="29" t="s">
        <v>41</v>
      </c>
      <c r="S168" s="29" t="s">
        <v>935</v>
      </c>
    </row>
    <row r="169" spans="1:19">
      <c r="A169" s="29">
        <v>168</v>
      </c>
      <c r="B169" s="29" t="s">
        <v>1145</v>
      </c>
      <c r="C169" s="29" t="s">
        <v>938</v>
      </c>
      <c r="D169" s="29"/>
      <c r="E169" s="29"/>
      <c r="F169" s="29"/>
      <c r="G169" s="29">
        <v>2</v>
      </c>
      <c r="H169" s="29">
        <v>0</v>
      </c>
      <c r="I169" s="29">
        <v>0</v>
      </c>
      <c r="J169" s="29"/>
      <c r="K169" s="29"/>
      <c r="L169" s="29"/>
      <c r="M169" s="29"/>
      <c r="N169" s="29">
        <v>0</v>
      </c>
      <c r="O169" s="29">
        <v>1</v>
      </c>
      <c r="P169" s="29"/>
      <c r="Q169" s="29"/>
      <c r="R169" s="29" t="s">
        <v>41</v>
      </c>
      <c r="S169" s="29" t="s">
        <v>935</v>
      </c>
    </row>
    <row r="170" spans="1:19">
      <c r="A170" s="29">
        <v>169</v>
      </c>
      <c r="B170" s="29" t="s">
        <v>939</v>
      </c>
      <c r="C170" s="29" t="s">
        <v>940</v>
      </c>
      <c r="D170" s="29" t="s">
        <v>941</v>
      </c>
      <c r="E170" s="29"/>
      <c r="F170" s="29" t="s">
        <v>942</v>
      </c>
      <c r="G170" s="29">
        <v>3</v>
      </c>
      <c r="H170" s="29">
        <v>1</v>
      </c>
      <c r="I170" s="29">
        <v>1</v>
      </c>
      <c r="J170" s="29"/>
      <c r="K170" s="29" t="s">
        <v>943</v>
      </c>
      <c r="L170" s="29"/>
      <c r="M170" s="29"/>
      <c r="N170" s="29">
        <v>1</v>
      </c>
      <c r="O170" s="29">
        <v>1</v>
      </c>
      <c r="P170" s="29"/>
      <c r="Q170" s="29"/>
      <c r="R170" s="40">
        <v>44536</v>
      </c>
      <c r="S170" s="29"/>
    </row>
    <row r="171" spans="1:19">
      <c r="A171" s="29">
        <v>170</v>
      </c>
      <c r="B171" s="29" t="s">
        <v>944</v>
      </c>
      <c r="C171" s="29" t="s">
        <v>945</v>
      </c>
      <c r="D171" s="29"/>
      <c r="E171" s="29"/>
      <c r="F171" s="29"/>
      <c r="G171" s="29">
        <v>4</v>
      </c>
      <c r="H171" s="29">
        <v>1</v>
      </c>
      <c r="I171" s="29">
        <v>1</v>
      </c>
      <c r="J171" s="29"/>
      <c r="K171" s="29" t="s">
        <v>946</v>
      </c>
      <c r="L171" s="29"/>
      <c r="M171" s="29"/>
      <c r="N171" s="29">
        <v>1</v>
      </c>
      <c r="O171" s="29">
        <v>1</v>
      </c>
      <c r="P171" s="29"/>
      <c r="Q171" s="29"/>
      <c r="R171" s="40">
        <v>44537</v>
      </c>
      <c r="S171" s="29" t="s">
        <v>33</v>
      </c>
    </row>
    <row r="172" spans="1:19">
      <c r="A172" s="29">
        <v>171</v>
      </c>
      <c r="B172" s="29" t="s">
        <v>947</v>
      </c>
      <c r="C172" s="29" t="s">
        <v>948</v>
      </c>
      <c r="D172" s="29" t="s">
        <v>949</v>
      </c>
      <c r="E172" s="29"/>
      <c r="F172" s="29"/>
      <c r="G172" s="29">
        <v>4</v>
      </c>
      <c r="H172" s="29">
        <v>0</v>
      </c>
      <c r="I172" s="29">
        <v>0</v>
      </c>
      <c r="J172" s="29"/>
      <c r="K172" s="29"/>
      <c r="L172" s="29"/>
      <c r="M172" s="29"/>
      <c r="N172" s="29">
        <v>0</v>
      </c>
      <c r="O172" s="29">
        <v>1</v>
      </c>
      <c r="P172" s="29"/>
      <c r="Q172" s="29"/>
      <c r="R172" s="40">
        <v>44537</v>
      </c>
      <c r="S172" s="29" t="s">
        <v>33</v>
      </c>
    </row>
    <row r="173" spans="1:19">
      <c r="A173" s="29">
        <v>172</v>
      </c>
      <c r="B173" s="38" t="s">
        <v>950</v>
      </c>
      <c r="C173" s="29" t="s">
        <v>951</v>
      </c>
      <c r="D173" s="29"/>
      <c r="E173" s="29"/>
      <c r="F173" s="29" t="s">
        <v>952</v>
      </c>
      <c r="G173" s="29">
        <v>4</v>
      </c>
      <c r="H173" s="29">
        <v>1</v>
      </c>
      <c r="I173" s="29">
        <v>0</v>
      </c>
      <c r="J173" s="29"/>
      <c r="K173" s="29"/>
      <c r="L173" s="29"/>
      <c r="M173" s="29"/>
      <c r="N173" s="29">
        <v>0</v>
      </c>
      <c r="O173" s="29">
        <v>1</v>
      </c>
      <c r="P173" s="29"/>
      <c r="Q173" s="29"/>
      <c r="R173" s="40">
        <v>44567</v>
      </c>
      <c r="S173" s="29"/>
    </row>
    <row r="174" spans="1:19">
      <c r="A174" s="29">
        <v>173</v>
      </c>
      <c r="B174" s="29" t="s">
        <v>953</v>
      </c>
      <c r="C174" s="29" t="s">
        <v>954</v>
      </c>
      <c r="D174" s="29"/>
      <c r="E174" s="29"/>
      <c r="F174" s="29"/>
      <c r="G174" s="29">
        <v>4</v>
      </c>
      <c r="H174" s="29">
        <v>0</v>
      </c>
      <c r="I174" s="29">
        <v>0</v>
      </c>
      <c r="J174" s="29"/>
      <c r="K174" s="29"/>
      <c r="L174" s="29"/>
      <c r="M174" s="29"/>
      <c r="N174" s="29">
        <v>0</v>
      </c>
      <c r="O174" s="29">
        <v>1</v>
      </c>
      <c r="P174" s="29"/>
      <c r="Q174" s="29"/>
      <c r="R174" s="40">
        <v>44540</v>
      </c>
      <c r="S174" s="29" t="s">
        <v>955</v>
      </c>
    </row>
    <row r="175" spans="1:19">
      <c r="A175" s="29">
        <v>174</v>
      </c>
      <c r="B175" s="29" t="s">
        <v>956</v>
      </c>
      <c r="C175" s="29" t="s">
        <v>957</v>
      </c>
      <c r="D175" s="29"/>
      <c r="E175" s="29"/>
      <c r="F175" s="29"/>
      <c r="G175" s="29">
        <v>4</v>
      </c>
      <c r="H175" s="29">
        <v>0</v>
      </c>
      <c r="I175" s="29">
        <v>0</v>
      </c>
      <c r="J175" s="29"/>
      <c r="K175" s="29"/>
      <c r="L175" s="29"/>
      <c r="M175" s="29"/>
      <c r="N175" s="29">
        <v>0</v>
      </c>
      <c r="O175" s="29">
        <v>1</v>
      </c>
      <c r="P175" s="29"/>
      <c r="Q175" s="29"/>
      <c r="R175" s="40">
        <v>44537</v>
      </c>
      <c r="S175" s="29" t="s">
        <v>33</v>
      </c>
    </row>
    <row r="176" spans="1:19">
      <c r="A176" s="29">
        <v>175</v>
      </c>
      <c r="B176" s="29" t="s">
        <v>958</v>
      </c>
      <c r="C176" s="29"/>
      <c r="D176" s="29" t="s">
        <v>959</v>
      </c>
      <c r="E176" s="29"/>
      <c r="F176" s="29"/>
      <c r="G176" s="29">
        <v>4</v>
      </c>
      <c r="H176" s="29">
        <v>0</v>
      </c>
      <c r="I176" s="29">
        <v>0</v>
      </c>
      <c r="J176" s="29"/>
      <c r="K176" s="29"/>
      <c r="L176" s="29"/>
      <c r="M176" s="29"/>
      <c r="N176" s="29">
        <v>0</v>
      </c>
      <c r="O176" s="29">
        <v>1</v>
      </c>
      <c r="P176" s="29"/>
      <c r="Q176" s="29"/>
      <c r="R176" s="40">
        <v>44553</v>
      </c>
      <c r="S176" s="29" t="s">
        <v>33</v>
      </c>
    </row>
    <row r="177" spans="1:19">
      <c r="A177" s="29">
        <v>176</v>
      </c>
      <c r="B177" s="32"/>
      <c r="C177" s="29" t="s">
        <v>960</v>
      </c>
      <c r="D177" s="29"/>
      <c r="E177" s="29"/>
      <c r="F177" s="29"/>
      <c r="G177" s="29">
        <v>4</v>
      </c>
      <c r="H177" s="29">
        <v>0</v>
      </c>
      <c r="I177" s="29">
        <v>0</v>
      </c>
      <c r="J177" s="29"/>
      <c r="K177" s="29"/>
      <c r="L177" s="29"/>
      <c r="M177" s="29"/>
      <c r="N177" s="29">
        <v>0</v>
      </c>
      <c r="O177" s="32"/>
      <c r="P177" s="29"/>
      <c r="Q177" s="29"/>
      <c r="R177" s="29"/>
      <c r="S177" s="29" t="s">
        <v>961</v>
      </c>
    </row>
    <row r="178" spans="1:19">
      <c r="A178" s="29">
        <v>177</v>
      </c>
      <c r="B178" s="29" t="s">
        <v>962</v>
      </c>
      <c r="C178" s="29" t="s">
        <v>963</v>
      </c>
      <c r="D178" s="29" t="s">
        <v>962</v>
      </c>
      <c r="E178" s="29"/>
      <c r="F178" s="29" t="s">
        <v>964</v>
      </c>
      <c r="G178" s="29">
        <v>6</v>
      </c>
      <c r="H178" s="29">
        <v>1</v>
      </c>
      <c r="I178" s="29">
        <v>1</v>
      </c>
      <c r="J178" s="29" t="s">
        <v>965</v>
      </c>
      <c r="K178" s="29"/>
      <c r="L178" s="29"/>
      <c r="M178" s="29"/>
      <c r="N178" s="29">
        <v>1</v>
      </c>
      <c r="O178" s="29">
        <v>1</v>
      </c>
      <c r="P178" s="29"/>
      <c r="Q178" s="29"/>
      <c r="R178" s="40">
        <v>44546</v>
      </c>
      <c r="S178" s="29"/>
    </row>
    <row r="179" spans="1:19">
      <c r="A179" s="29">
        <v>178</v>
      </c>
      <c r="B179" s="29" t="s">
        <v>966</v>
      </c>
      <c r="C179" s="29" t="s">
        <v>967</v>
      </c>
      <c r="D179" s="29" t="s">
        <v>968</v>
      </c>
      <c r="E179" s="29"/>
      <c r="F179" s="29" t="s">
        <v>660</v>
      </c>
      <c r="G179" s="29">
        <v>3</v>
      </c>
      <c r="H179" s="29">
        <v>0</v>
      </c>
      <c r="I179" s="29">
        <v>0</v>
      </c>
      <c r="J179" s="29"/>
      <c r="K179" s="29"/>
      <c r="L179" s="29"/>
      <c r="M179" s="29"/>
      <c r="N179" s="29">
        <v>0</v>
      </c>
      <c r="O179" s="29">
        <v>1</v>
      </c>
      <c r="P179" s="29"/>
      <c r="Q179" s="29"/>
      <c r="R179" s="40">
        <v>44551</v>
      </c>
      <c r="S179" s="29" t="s">
        <v>33</v>
      </c>
    </row>
    <row r="180" spans="1:19">
      <c r="A180" s="29">
        <v>179</v>
      </c>
      <c r="B180" s="29" t="s">
        <v>969</v>
      </c>
      <c r="C180" s="29" t="s">
        <v>970</v>
      </c>
      <c r="D180" s="29"/>
      <c r="E180" s="29"/>
      <c r="F180" s="29"/>
      <c r="G180" s="29">
        <v>4</v>
      </c>
      <c r="H180" s="29">
        <v>0</v>
      </c>
      <c r="I180" s="29">
        <v>0</v>
      </c>
      <c r="J180" s="29"/>
      <c r="K180" s="29"/>
      <c r="L180" s="29"/>
      <c r="M180" s="29"/>
      <c r="N180" s="29">
        <v>0</v>
      </c>
      <c r="O180" s="29">
        <v>1</v>
      </c>
      <c r="P180" s="29"/>
      <c r="Q180" s="29"/>
      <c r="R180" s="40">
        <v>44546</v>
      </c>
      <c r="S180" s="29" t="s">
        <v>961</v>
      </c>
    </row>
    <row r="181" spans="1:19">
      <c r="A181" s="29">
        <v>180</v>
      </c>
      <c r="B181" s="29" t="s">
        <v>1146</v>
      </c>
      <c r="C181" s="29"/>
      <c r="D181" s="29"/>
      <c r="E181" s="29"/>
      <c r="F181" s="29"/>
      <c r="G181" s="29">
        <v>4</v>
      </c>
      <c r="H181" s="29">
        <v>0</v>
      </c>
      <c r="I181" s="29">
        <v>0</v>
      </c>
      <c r="J181" s="29"/>
      <c r="K181" s="29"/>
      <c r="L181" s="29"/>
      <c r="M181" s="29"/>
      <c r="N181" s="29">
        <v>1</v>
      </c>
      <c r="O181" s="29">
        <v>1</v>
      </c>
      <c r="P181" s="29"/>
      <c r="Q181" s="29"/>
      <c r="R181" s="41">
        <v>44580</v>
      </c>
      <c r="S181" s="29"/>
    </row>
    <row r="182" spans="1:19">
      <c r="A182" s="29">
        <v>181</v>
      </c>
      <c r="B182" s="29" t="s">
        <v>1147</v>
      </c>
      <c r="C182" s="29"/>
      <c r="D182" s="29"/>
      <c r="E182" s="29"/>
      <c r="F182" s="29"/>
      <c r="G182" s="29">
        <v>4</v>
      </c>
      <c r="H182" s="29">
        <v>0</v>
      </c>
      <c r="I182" s="29">
        <v>0</v>
      </c>
      <c r="J182" s="29"/>
      <c r="K182" s="29"/>
      <c r="L182" s="29"/>
      <c r="M182" s="29"/>
      <c r="N182" s="29">
        <v>1</v>
      </c>
      <c r="O182" s="29">
        <v>1</v>
      </c>
      <c r="P182" s="29"/>
      <c r="Q182" s="29"/>
      <c r="R182" s="41">
        <v>44580</v>
      </c>
      <c r="S182" s="29"/>
    </row>
    <row r="183" spans="1:19">
      <c r="A183" s="29">
        <v>182</v>
      </c>
      <c r="B183" s="29" t="s">
        <v>1148</v>
      </c>
      <c r="C183" s="29"/>
      <c r="D183" s="29"/>
      <c r="E183" s="29"/>
      <c r="F183" s="29"/>
      <c r="G183" s="29">
        <v>4</v>
      </c>
      <c r="H183" s="29">
        <v>0</v>
      </c>
      <c r="I183" s="29">
        <v>0</v>
      </c>
      <c r="J183" s="29"/>
      <c r="K183" s="29"/>
      <c r="L183" s="29"/>
      <c r="M183" s="29"/>
      <c r="N183" s="29">
        <v>1</v>
      </c>
      <c r="O183" s="29">
        <v>1</v>
      </c>
      <c r="P183" s="29"/>
      <c r="Q183" s="29"/>
      <c r="R183" s="41">
        <v>44580</v>
      </c>
      <c r="S183" s="29"/>
    </row>
    <row r="184" spans="1:19">
      <c r="A184" s="29">
        <v>183</v>
      </c>
      <c r="B184" s="29" t="s">
        <v>1149</v>
      </c>
      <c r="C184" s="29" t="s">
        <v>971</v>
      </c>
      <c r="D184" s="29" t="s">
        <v>972</v>
      </c>
      <c r="E184" s="29"/>
      <c r="F184" s="29" t="s">
        <v>660</v>
      </c>
      <c r="G184" s="32">
        <v>4</v>
      </c>
      <c r="H184" s="29">
        <v>0</v>
      </c>
      <c r="I184" s="29">
        <v>0</v>
      </c>
      <c r="J184" s="29"/>
      <c r="K184" s="29"/>
      <c r="L184" s="29"/>
      <c r="M184" s="29"/>
      <c r="N184" s="29">
        <v>0</v>
      </c>
      <c r="O184" s="29">
        <v>1</v>
      </c>
      <c r="P184" s="29"/>
      <c r="Q184" s="29"/>
      <c r="R184" s="41">
        <v>44580</v>
      </c>
      <c r="S184" s="32" t="s">
        <v>974</v>
      </c>
    </row>
    <row r="185" spans="1:19">
      <c r="A185" s="29">
        <v>184</v>
      </c>
      <c r="B185" s="29" t="s">
        <v>975</v>
      </c>
      <c r="C185" s="29" t="s">
        <v>976</v>
      </c>
      <c r="D185" s="29" t="s">
        <v>977</v>
      </c>
      <c r="E185" s="29"/>
      <c r="F185" s="38" t="s">
        <v>978</v>
      </c>
      <c r="G185" s="29">
        <v>4</v>
      </c>
      <c r="H185" s="29">
        <v>1</v>
      </c>
      <c r="I185" s="29">
        <v>1</v>
      </c>
      <c r="J185" s="29"/>
      <c r="K185" s="29" t="s">
        <v>979</v>
      </c>
      <c r="L185" s="29"/>
      <c r="M185" s="29"/>
      <c r="N185" s="29">
        <v>1</v>
      </c>
      <c r="O185" s="29">
        <v>1</v>
      </c>
      <c r="P185" s="29"/>
      <c r="Q185" s="29"/>
      <c r="R185" s="40">
        <v>44552</v>
      </c>
      <c r="S185" s="29"/>
    </row>
    <row r="186" spans="1:19">
      <c r="A186" s="29">
        <v>185</v>
      </c>
      <c r="B186" s="29" t="s">
        <v>980</v>
      </c>
      <c r="C186" s="29" t="s">
        <v>981</v>
      </c>
      <c r="D186" s="29" t="s">
        <v>982</v>
      </c>
      <c r="E186" s="29"/>
      <c r="F186" s="29"/>
      <c r="G186" s="29">
        <v>4</v>
      </c>
      <c r="H186" s="29">
        <v>0</v>
      </c>
      <c r="I186" s="29">
        <v>0</v>
      </c>
      <c r="J186" s="29"/>
      <c r="K186" s="29"/>
      <c r="L186" s="29"/>
      <c r="M186" s="29"/>
      <c r="N186" s="29">
        <v>0</v>
      </c>
      <c r="O186" s="29">
        <v>1</v>
      </c>
      <c r="P186" s="29"/>
      <c r="Q186" s="29"/>
      <c r="R186" s="40">
        <v>44576</v>
      </c>
      <c r="S186" s="29" t="s">
        <v>33</v>
      </c>
    </row>
    <row r="187" spans="1:19">
      <c r="A187" s="29">
        <v>186</v>
      </c>
      <c r="B187" s="29" t="s">
        <v>1150</v>
      </c>
      <c r="C187" s="29" t="s">
        <v>983</v>
      </c>
      <c r="D187" s="29"/>
      <c r="E187" s="29"/>
      <c r="F187" s="29"/>
      <c r="G187" s="29">
        <v>2</v>
      </c>
      <c r="H187" s="29">
        <v>0</v>
      </c>
      <c r="I187" s="29">
        <v>1</v>
      </c>
      <c r="J187" s="29"/>
      <c r="K187" s="29" t="s">
        <v>984</v>
      </c>
      <c r="L187" s="29"/>
      <c r="M187" s="29"/>
      <c r="N187" s="29">
        <v>1</v>
      </c>
      <c r="O187" s="29">
        <v>1</v>
      </c>
      <c r="P187" s="29"/>
      <c r="Q187" s="29"/>
      <c r="R187" s="40">
        <v>44606</v>
      </c>
      <c r="S187" s="29" t="s">
        <v>961</v>
      </c>
    </row>
    <row r="188" spans="1:19">
      <c r="A188" s="29">
        <v>187</v>
      </c>
      <c r="B188" s="29" t="s">
        <v>1150</v>
      </c>
      <c r="C188" s="29" t="s">
        <v>985</v>
      </c>
      <c r="D188" s="29"/>
      <c r="E188" s="29"/>
      <c r="F188" s="29"/>
      <c r="G188" s="29">
        <v>2</v>
      </c>
      <c r="H188" s="29">
        <v>0</v>
      </c>
      <c r="I188" s="29">
        <v>0</v>
      </c>
      <c r="J188" s="29"/>
      <c r="K188" s="29"/>
      <c r="L188" s="29"/>
      <c r="M188" s="29"/>
      <c r="N188" s="29">
        <v>0</v>
      </c>
      <c r="O188" s="29">
        <v>0</v>
      </c>
      <c r="P188" s="29"/>
      <c r="Q188" s="29"/>
      <c r="R188" s="29"/>
      <c r="S188" s="29" t="s">
        <v>961</v>
      </c>
    </row>
    <row r="189" spans="1:19">
      <c r="A189" s="29">
        <v>188</v>
      </c>
      <c r="B189" s="29" t="s">
        <v>986</v>
      </c>
      <c r="C189" s="29" t="s">
        <v>987</v>
      </c>
      <c r="D189" s="29"/>
      <c r="E189" s="29"/>
      <c r="F189" s="29"/>
      <c r="G189" s="29">
        <v>2</v>
      </c>
      <c r="H189" s="29">
        <v>0</v>
      </c>
      <c r="I189" s="29">
        <v>1</v>
      </c>
      <c r="J189" s="29"/>
      <c r="K189" s="29" t="s">
        <v>988</v>
      </c>
      <c r="L189" s="29"/>
      <c r="M189" s="29"/>
      <c r="N189" s="29">
        <v>1</v>
      </c>
      <c r="O189" s="32">
        <v>0</v>
      </c>
      <c r="P189" s="29"/>
      <c r="Q189" s="29" t="s">
        <v>1130</v>
      </c>
      <c r="R189" s="29"/>
      <c r="S189" s="29" t="s">
        <v>955</v>
      </c>
    </row>
    <row r="190" spans="1:19">
      <c r="A190" s="29">
        <v>189</v>
      </c>
      <c r="B190" s="29" t="s">
        <v>989</v>
      </c>
      <c r="C190" s="29" t="s">
        <v>990</v>
      </c>
      <c r="D190" s="29" t="s">
        <v>991</v>
      </c>
      <c r="E190" s="29"/>
      <c r="F190" s="29"/>
      <c r="G190" s="29">
        <v>4</v>
      </c>
      <c r="H190" s="29">
        <v>0</v>
      </c>
      <c r="I190" s="29">
        <v>0</v>
      </c>
      <c r="J190" s="29"/>
      <c r="K190" s="29"/>
      <c r="L190" s="29"/>
      <c r="M190" s="29"/>
      <c r="N190" s="29">
        <v>0</v>
      </c>
      <c r="O190" s="29">
        <v>1</v>
      </c>
      <c r="P190" s="29"/>
      <c r="Q190" s="29"/>
      <c r="R190" s="40">
        <v>44595</v>
      </c>
      <c r="S190" s="29" t="s">
        <v>33</v>
      </c>
    </row>
    <row r="191" spans="1:19">
      <c r="A191" s="29">
        <v>190</v>
      </c>
      <c r="B191" s="29" t="s">
        <v>992</v>
      </c>
      <c r="C191" s="29" t="s">
        <v>993</v>
      </c>
      <c r="D191" s="29" t="s">
        <v>994</v>
      </c>
      <c r="E191" s="29"/>
      <c r="F191" s="29"/>
      <c r="G191" s="29">
        <v>4</v>
      </c>
      <c r="H191" s="29">
        <v>0</v>
      </c>
      <c r="I191" s="29">
        <v>1</v>
      </c>
      <c r="J191" s="29"/>
      <c r="K191" s="29" t="s">
        <v>995</v>
      </c>
      <c r="L191" s="29"/>
      <c r="M191" s="29"/>
      <c r="N191" s="29">
        <v>1</v>
      </c>
      <c r="O191" s="29">
        <v>1</v>
      </c>
      <c r="P191" s="29"/>
      <c r="Q191" s="29"/>
      <c r="R191" s="40">
        <v>44599</v>
      </c>
      <c r="S191" s="29" t="s">
        <v>33</v>
      </c>
    </row>
    <row r="192" spans="1:19">
      <c r="A192" s="29">
        <v>191</v>
      </c>
      <c r="B192" s="29" t="s">
        <v>996</v>
      </c>
      <c r="C192" s="29" t="s">
        <v>997</v>
      </c>
      <c r="D192" s="29" t="s">
        <v>968</v>
      </c>
      <c r="E192" s="29"/>
      <c r="F192" s="29"/>
      <c r="G192" s="29">
        <v>4</v>
      </c>
      <c r="H192" s="29">
        <v>0</v>
      </c>
      <c r="I192" s="29">
        <v>0</v>
      </c>
      <c r="J192" s="29"/>
      <c r="K192" s="29"/>
      <c r="L192" s="29"/>
      <c r="M192" s="29"/>
      <c r="N192" s="29">
        <v>0</v>
      </c>
      <c r="O192" s="29">
        <v>1</v>
      </c>
      <c r="P192" s="29"/>
      <c r="Q192" s="29"/>
      <c r="R192" s="40">
        <v>44646</v>
      </c>
      <c r="S192" s="29" t="s">
        <v>33</v>
      </c>
    </row>
    <row r="193" spans="1:20">
      <c r="A193" s="29">
        <v>192</v>
      </c>
      <c r="B193" s="29" t="s">
        <v>998</v>
      </c>
      <c r="C193" s="29" t="s">
        <v>999</v>
      </c>
      <c r="D193" s="29" t="s">
        <v>998</v>
      </c>
      <c r="E193" s="29"/>
      <c r="F193" s="29"/>
      <c r="G193" s="29">
        <v>5</v>
      </c>
      <c r="H193" s="29">
        <v>0</v>
      </c>
      <c r="I193" s="29">
        <v>0</v>
      </c>
      <c r="J193" s="29"/>
      <c r="K193" s="29"/>
      <c r="L193" s="29"/>
      <c r="M193" s="29"/>
      <c r="N193" s="29">
        <v>0</v>
      </c>
      <c r="O193" s="29">
        <v>1</v>
      </c>
      <c r="P193" s="29"/>
      <c r="Q193" s="29"/>
      <c r="R193" s="40">
        <v>44635</v>
      </c>
      <c r="S193" s="29" t="s">
        <v>33</v>
      </c>
    </row>
    <row r="194" spans="1:20">
      <c r="A194" s="29">
        <v>193</v>
      </c>
      <c r="B194" s="29" t="s">
        <v>1000</v>
      </c>
      <c r="C194" s="29" t="s">
        <v>1001</v>
      </c>
      <c r="D194" s="29" t="s">
        <v>1002</v>
      </c>
      <c r="E194" s="29"/>
      <c r="F194" s="29"/>
      <c r="G194" s="29">
        <v>4</v>
      </c>
      <c r="H194" s="29">
        <v>1</v>
      </c>
      <c r="I194" s="29">
        <v>0</v>
      </c>
      <c r="J194" s="29"/>
      <c r="K194" s="29"/>
      <c r="L194" s="29"/>
      <c r="M194" s="29"/>
      <c r="N194" s="29">
        <v>0</v>
      </c>
      <c r="O194" s="29">
        <v>1</v>
      </c>
      <c r="P194" s="29"/>
      <c r="Q194" s="29"/>
      <c r="R194" s="40">
        <v>44636</v>
      </c>
      <c r="S194" s="29"/>
      <c r="T194" s="29"/>
    </row>
    <row r="195" spans="1:20">
      <c r="A195" s="29">
        <v>194</v>
      </c>
      <c r="B195" s="29" t="s">
        <v>1003</v>
      </c>
      <c r="C195" s="29" t="s">
        <v>1003</v>
      </c>
      <c r="D195" s="29"/>
      <c r="E195" s="29"/>
      <c r="F195" s="30" t="s">
        <v>1004</v>
      </c>
      <c r="G195" s="29">
        <v>5</v>
      </c>
      <c r="H195" s="29">
        <v>1</v>
      </c>
      <c r="I195" s="29" t="s">
        <v>660</v>
      </c>
      <c r="J195" s="30" t="s">
        <v>1005</v>
      </c>
      <c r="K195" s="29"/>
      <c r="L195" s="29"/>
      <c r="M195" s="29"/>
      <c r="N195" s="29">
        <v>0</v>
      </c>
      <c r="O195" s="32">
        <v>0</v>
      </c>
      <c r="P195" s="29"/>
      <c r="Q195" s="29"/>
      <c r="R195" s="40"/>
      <c r="S195" s="29" t="s">
        <v>1006</v>
      </c>
      <c r="T195" s="29"/>
    </row>
    <row r="196" spans="1:20">
      <c r="A196" s="29">
        <v>195</v>
      </c>
      <c r="B196" s="29" t="s">
        <v>1007</v>
      </c>
      <c r="C196" s="29" t="s">
        <v>1007</v>
      </c>
      <c r="D196" s="29"/>
      <c r="E196" s="29"/>
      <c r="F196" s="30" t="s">
        <v>1008</v>
      </c>
      <c r="G196" s="29">
        <v>5</v>
      </c>
      <c r="H196" s="29">
        <v>1</v>
      </c>
      <c r="I196" s="29" t="s">
        <v>660</v>
      </c>
      <c r="J196" s="29" t="s">
        <v>1009</v>
      </c>
      <c r="K196" s="29"/>
      <c r="L196" s="29"/>
      <c r="M196" s="29"/>
      <c r="N196" s="29">
        <v>0</v>
      </c>
      <c r="O196" s="32">
        <v>0</v>
      </c>
      <c r="P196" s="29"/>
      <c r="Q196" s="29"/>
      <c r="R196" s="29"/>
      <c r="S196" s="29" t="s">
        <v>1006</v>
      </c>
      <c r="T196" s="29"/>
    </row>
    <row r="197" spans="1:20">
      <c r="A197" s="29">
        <v>196</v>
      </c>
      <c r="B197" s="29" t="s">
        <v>1010</v>
      </c>
      <c r="C197" s="29" t="s">
        <v>1011</v>
      </c>
      <c r="D197" s="29"/>
      <c r="E197" s="29"/>
      <c r="F197" s="30" t="s">
        <v>1012</v>
      </c>
      <c r="G197" s="29">
        <v>5</v>
      </c>
      <c r="H197" s="29">
        <v>1</v>
      </c>
      <c r="I197" s="29">
        <v>1</v>
      </c>
      <c r="J197" s="29" t="s">
        <v>1013</v>
      </c>
      <c r="K197" s="29"/>
      <c r="L197" s="29"/>
      <c r="M197" s="29"/>
      <c r="N197" s="29">
        <v>1</v>
      </c>
      <c r="O197" s="32">
        <v>0</v>
      </c>
      <c r="P197" s="29"/>
      <c r="Q197" s="29" t="s">
        <v>1130</v>
      </c>
      <c r="R197" s="29"/>
      <c r="S197" s="29" t="s">
        <v>1014</v>
      </c>
      <c r="T197" s="29"/>
    </row>
    <row r="198" spans="1:20">
      <c r="A198" s="29">
        <v>197</v>
      </c>
      <c r="B198" s="29" t="s">
        <v>1015</v>
      </c>
      <c r="C198" s="29"/>
      <c r="D198" s="29"/>
      <c r="E198" s="29"/>
      <c r="F198" s="30" t="s">
        <v>1016</v>
      </c>
      <c r="G198" s="29">
        <v>5</v>
      </c>
      <c r="H198" s="29">
        <v>0</v>
      </c>
      <c r="I198" s="29">
        <v>0</v>
      </c>
      <c r="J198" s="29"/>
      <c r="K198" s="29"/>
      <c r="L198" s="29"/>
      <c r="M198" s="29"/>
      <c r="N198" s="29">
        <v>0</v>
      </c>
      <c r="O198" s="32">
        <v>0</v>
      </c>
      <c r="P198" s="29"/>
      <c r="Q198" s="29"/>
      <c r="R198" s="29"/>
      <c r="S198" s="29"/>
      <c r="T198" s="29"/>
    </row>
    <row r="199" spans="1:20">
      <c r="A199" s="29">
        <v>198</v>
      </c>
      <c r="B199" s="29" t="s">
        <v>1017</v>
      </c>
      <c r="C199" s="29"/>
      <c r="D199" s="29"/>
      <c r="E199" s="29"/>
      <c r="F199" s="30" t="s">
        <v>1018</v>
      </c>
      <c r="G199" s="29">
        <v>6</v>
      </c>
      <c r="H199" s="29">
        <v>1</v>
      </c>
      <c r="I199" s="29" t="s">
        <v>660</v>
      </c>
      <c r="J199" s="29" t="s">
        <v>1018</v>
      </c>
      <c r="K199" s="29"/>
      <c r="L199" s="29"/>
      <c r="M199" s="29"/>
      <c r="N199" s="29">
        <v>0</v>
      </c>
      <c r="O199" s="32">
        <v>0</v>
      </c>
      <c r="P199" s="29"/>
      <c r="Q199" s="29"/>
      <c r="R199" s="29"/>
      <c r="S199" s="29" t="s">
        <v>1019</v>
      </c>
      <c r="T199" s="29"/>
    </row>
    <row r="200" spans="1:20">
      <c r="A200" s="29">
        <v>199</v>
      </c>
      <c r="B200" s="29" t="s">
        <v>1020</v>
      </c>
      <c r="C200" s="30"/>
      <c r="D200" s="29"/>
      <c r="E200" s="29"/>
      <c r="F200" s="30" t="s">
        <v>1021</v>
      </c>
      <c r="G200" s="29">
        <v>6</v>
      </c>
      <c r="H200" s="29">
        <v>1</v>
      </c>
      <c r="I200" s="29">
        <v>0</v>
      </c>
      <c r="J200" s="29"/>
      <c r="K200" s="29"/>
      <c r="L200" s="29"/>
      <c r="M200" s="29"/>
      <c r="N200" s="29">
        <v>0</v>
      </c>
      <c r="O200" s="32">
        <v>0</v>
      </c>
      <c r="P200" s="29"/>
      <c r="Q200" s="29" t="s">
        <v>1022</v>
      </c>
      <c r="R200" s="29"/>
      <c r="S200" s="29" t="s">
        <v>33</v>
      </c>
      <c r="T200" s="29"/>
    </row>
    <row r="201" spans="1:20">
      <c r="A201" s="29">
        <v>200</v>
      </c>
      <c r="B201" s="29" t="s">
        <v>1023</v>
      </c>
      <c r="C201" s="29"/>
      <c r="D201" s="29" t="s">
        <v>1024</v>
      </c>
      <c r="E201" s="29"/>
      <c r="F201" s="29" t="s">
        <v>1024</v>
      </c>
      <c r="G201" s="29">
        <v>6</v>
      </c>
      <c r="H201" s="29">
        <v>1</v>
      </c>
      <c r="I201" s="29">
        <v>0</v>
      </c>
      <c r="J201" s="29"/>
      <c r="K201" s="29"/>
      <c r="L201" s="29"/>
      <c r="M201" s="29"/>
      <c r="N201" s="29">
        <v>0</v>
      </c>
      <c r="O201" s="32">
        <v>0</v>
      </c>
      <c r="P201" s="29"/>
      <c r="Q201" s="29"/>
      <c r="R201" s="29"/>
      <c r="S201" s="29" t="s">
        <v>1025</v>
      </c>
      <c r="T201" s="29"/>
    </row>
    <row r="202" spans="1:20">
      <c r="A202" s="29">
        <v>201</v>
      </c>
      <c r="B202" s="29" t="s">
        <v>1026</v>
      </c>
      <c r="C202" s="29"/>
      <c r="D202" s="29"/>
      <c r="E202" s="29"/>
      <c r="F202" s="30" t="s">
        <v>1027</v>
      </c>
      <c r="G202" s="29">
        <v>6</v>
      </c>
      <c r="H202" s="29">
        <v>1</v>
      </c>
      <c r="I202" s="29">
        <v>0</v>
      </c>
      <c r="J202" s="29"/>
      <c r="K202" s="29"/>
      <c r="L202" s="29"/>
      <c r="M202" s="29"/>
      <c r="N202" s="29">
        <v>0</v>
      </c>
      <c r="O202" s="32">
        <v>0</v>
      </c>
      <c r="P202" s="29"/>
      <c r="Q202" s="29"/>
      <c r="R202" s="29"/>
      <c r="S202" s="29"/>
      <c r="T202" s="29"/>
    </row>
    <row r="203" spans="1:20">
      <c r="A203" s="29">
        <v>202</v>
      </c>
      <c r="B203" s="29" t="s">
        <v>1028</v>
      </c>
      <c r="C203" s="30"/>
      <c r="D203" s="29"/>
      <c r="E203" s="29"/>
      <c r="F203" s="30" t="s">
        <v>1029</v>
      </c>
      <c r="G203" s="29">
        <v>6</v>
      </c>
      <c r="H203" s="29">
        <v>1</v>
      </c>
      <c r="I203" s="29">
        <v>0</v>
      </c>
      <c r="J203" s="29"/>
      <c r="K203" s="29"/>
      <c r="L203" s="29"/>
      <c r="M203" s="29"/>
      <c r="N203" s="29">
        <v>0</v>
      </c>
      <c r="O203" s="32">
        <v>0</v>
      </c>
      <c r="P203" s="29"/>
      <c r="Q203" s="29"/>
      <c r="R203" s="29"/>
      <c r="S203" s="29" t="s">
        <v>33</v>
      </c>
      <c r="T203" s="29"/>
    </row>
    <row r="204" spans="1:20">
      <c r="A204" s="29">
        <v>203</v>
      </c>
      <c r="B204" s="29" t="s">
        <v>1030</v>
      </c>
      <c r="C204" s="29"/>
      <c r="D204" s="29"/>
      <c r="E204" s="29"/>
      <c r="F204" s="29" t="s">
        <v>1031</v>
      </c>
      <c r="G204" s="29">
        <v>6</v>
      </c>
      <c r="H204" s="29">
        <v>0</v>
      </c>
      <c r="I204" s="29">
        <v>0</v>
      </c>
      <c r="J204" s="29"/>
      <c r="K204" s="29"/>
      <c r="L204" s="29"/>
      <c r="M204" s="29"/>
      <c r="N204" s="29">
        <v>0</v>
      </c>
      <c r="O204" s="32">
        <v>0</v>
      </c>
      <c r="P204" s="29"/>
      <c r="Q204" s="29"/>
      <c r="R204" s="29"/>
      <c r="S204" s="29" t="s">
        <v>1032</v>
      </c>
      <c r="T204" s="29"/>
    </row>
    <row r="205" spans="1:20">
      <c r="A205" s="29">
        <v>204</v>
      </c>
      <c r="B205" s="38" t="s">
        <v>1033</v>
      </c>
      <c r="C205" s="29"/>
      <c r="D205" s="29"/>
      <c r="E205" s="29"/>
      <c r="F205" s="29" t="s">
        <v>1034</v>
      </c>
      <c r="G205" s="29">
        <v>6</v>
      </c>
      <c r="H205" s="29">
        <v>0</v>
      </c>
      <c r="I205" s="29">
        <v>0</v>
      </c>
      <c r="J205" s="29"/>
      <c r="K205" s="29"/>
      <c r="L205" s="29"/>
      <c r="M205" s="29"/>
      <c r="N205" s="29">
        <v>0</v>
      </c>
      <c r="O205" s="32">
        <v>0</v>
      </c>
      <c r="P205" s="29"/>
      <c r="Q205" s="29"/>
      <c r="R205" s="29"/>
      <c r="S205" s="29" t="s">
        <v>1032</v>
      </c>
      <c r="T205" s="29"/>
    </row>
    <row r="206" spans="1:20">
      <c r="A206" s="29">
        <v>205</v>
      </c>
      <c r="B206" s="38" t="s">
        <v>1035</v>
      </c>
      <c r="C206" s="30"/>
      <c r="D206" s="29"/>
      <c r="E206" s="29"/>
      <c r="F206" s="30" t="s">
        <v>1036</v>
      </c>
      <c r="G206" s="29">
        <v>6</v>
      </c>
      <c r="H206" s="29">
        <v>1</v>
      </c>
      <c r="I206" s="29">
        <v>0</v>
      </c>
      <c r="J206" s="29"/>
      <c r="K206" s="29"/>
      <c r="L206" s="29"/>
      <c r="M206" s="29"/>
      <c r="N206" s="29">
        <v>0</v>
      </c>
      <c r="O206" s="32">
        <v>0</v>
      </c>
      <c r="P206" s="29"/>
      <c r="Q206" s="29"/>
      <c r="R206" s="29"/>
      <c r="S206" s="29"/>
      <c r="T206" s="29"/>
    </row>
    <row r="207" spans="1:20">
      <c r="A207" s="29">
        <v>206</v>
      </c>
      <c r="B207" s="38" t="s">
        <v>1037</v>
      </c>
      <c r="C207" s="29"/>
      <c r="D207" s="29"/>
      <c r="E207" s="29"/>
      <c r="F207" s="29" t="s">
        <v>1038</v>
      </c>
      <c r="G207" s="29">
        <v>6</v>
      </c>
      <c r="H207" s="29">
        <v>0</v>
      </c>
      <c r="I207" s="29">
        <v>0</v>
      </c>
      <c r="J207" s="29"/>
      <c r="K207" s="29"/>
      <c r="L207" s="29"/>
      <c r="M207" s="29"/>
      <c r="N207" s="29">
        <v>0</v>
      </c>
      <c r="O207" s="32">
        <v>0</v>
      </c>
      <c r="P207" s="29"/>
      <c r="Q207" s="29"/>
      <c r="R207" s="29"/>
      <c r="S207" s="29" t="s">
        <v>1032</v>
      </c>
      <c r="T207" s="29"/>
    </row>
    <row r="208" spans="1:20">
      <c r="A208" s="29">
        <v>207</v>
      </c>
      <c r="B208" s="29" t="s">
        <v>1039</v>
      </c>
      <c r="C208" s="29"/>
      <c r="D208" s="29"/>
      <c r="E208" s="29"/>
      <c r="F208" s="29" t="s">
        <v>1040</v>
      </c>
      <c r="G208" s="29">
        <v>6</v>
      </c>
      <c r="H208" s="29">
        <v>1</v>
      </c>
      <c r="I208" s="29">
        <v>0</v>
      </c>
      <c r="J208" s="29"/>
      <c r="K208" s="29"/>
      <c r="L208" s="29"/>
      <c r="M208" s="29"/>
      <c r="N208" s="29">
        <v>0</v>
      </c>
      <c r="O208" s="32">
        <v>0</v>
      </c>
      <c r="P208" s="29"/>
      <c r="Q208" s="29"/>
      <c r="R208" s="29"/>
      <c r="S208" s="29" t="s">
        <v>1032</v>
      </c>
      <c r="T208" s="29"/>
    </row>
    <row r="209" spans="1:20">
      <c r="A209" s="29">
        <v>208</v>
      </c>
      <c r="B209" s="29" t="s">
        <v>1041</v>
      </c>
      <c r="C209" s="29"/>
      <c r="D209" s="29"/>
      <c r="E209" s="29"/>
      <c r="F209" s="29" t="s">
        <v>1042</v>
      </c>
      <c r="G209" s="29">
        <v>6</v>
      </c>
      <c r="H209" s="29">
        <v>0</v>
      </c>
      <c r="I209" s="29">
        <v>1</v>
      </c>
      <c r="J209" s="38" t="s">
        <v>1043</v>
      </c>
      <c r="K209" s="29"/>
      <c r="L209" s="29"/>
      <c r="M209" s="29"/>
      <c r="N209" s="29">
        <v>0</v>
      </c>
      <c r="O209" s="32">
        <v>0</v>
      </c>
      <c r="P209" s="29"/>
      <c r="Q209" s="29"/>
      <c r="R209" s="29"/>
      <c r="S209" s="29"/>
      <c r="T209" s="29"/>
    </row>
    <row r="210" spans="1:20">
      <c r="A210" s="29">
        <v>209</v>
      </c>
      <c r="B210" s="29" t="s">
        <v>1044</v>
      </c>
      <c r="C210" s="29"/>
      <c r="D210" s="29"/>
      <c r="E210" s="29"/>
      <c r="F210" s="29" t="s">
        <v>1045</v>
      </c>
      <c r="G210" s="29">
        <v>6</v>
      </c>
      <c r="H210" s="29">
        <v>1</v>
      </c>
      <c r="I210" s="29">
        <v>1</v>
      </c>
      <c r="J210" s="29" t="s">
        <v>1046</v>
      </c>
      <c r="K210" s="29"/>
      <c r="L210" s="29"/>
      <c r="M210" s="29"/>
      <c r="N210" s="29">
        <v>1</v>
      </c>
      <c r="O210" s="32">
        <v>0</v>
      </c>
      <c r="P210" s="29"/>
      <c r="Q210" s="29" t="s">
        <v>1161</v>
      </c>
      <c r="R210" s="29"/>
      <c r="S210" s="29" t="s">
        <v>1047</v>
      </c>
      <c r="T210" s="29"/>
    </row>
    <row r="211" spans="1:20">
      <c r="A211" s="29">
        <v>210</v>
      </c>
      <c r="B211" s="29" t="s">
        <v>1048</v>
      </c>
      <c r="C211" s="30"/>
      <c r="D211" s="29" t="s">
        <v>1049</v>
      </c>
      <c r="E211" s="29"/>
      <c r="F211" s="30" t="s">
        <v>1050</v>
      </c>
      <c r="G211" s="29">
        <v>5</v>
      </c>
      <c r="H211" s="29">
        <v>1</v>
      </c>
      <c r="I211" s="29">
        <v>0</v>
      </c>
      <c r="J211" s="29"/>
      <c r="K211" s="29"/>
      <c r="L211" s="29"/>
      <c r="M211" s="29"/>
      <c r="N211" s="29">
        <v>0</v>
      </c>
      <c r="O211" s="32">
        <v>0</v>
      </c>
      <c r="P211" s="29"/>
      <c r="Q211" s="29"/>
      <c r="R211" s="29"/>
      <c r="S211" s="29" t="s">
        <v>1051</v>
      </c>
      <c r="T211" s="29"/>
    </row>
    <row r="212" spans="1:20">
      <c r="A212" s="29">
        <v>211</v>
      </c>
      <c r="B212" s="29" t="s">
        <v>1052</v>
      </c>
      <c r="C212" s="29"/>
      <c r="D212" s="29"/>
      <c r="E212" s="29"/>
      <c r="F212" s="29" t="s">
        <v>1053</v>
      </c>
      <c r="G212" s="29">
        <v>5</v>
      </c>
      <c r="H212" s="29">
        <v>1</v>
      </c>
      <c r="I212" s="29">
        <v>1</v>
      </c>
      <c r="J212" s="29" t="s">
        <v>1054</v>
      </c>
      <c r="K212" s="29"/>
      <c r="L212" s="29"/>
      <c r="M212" s="29"/>
      <c r="N212" s="29">
        <v>1</v>
      </c>
      <c r="O212" s="32">
        <v>0</v>
      </c>
      <c r="P212" s="29"/>
      <c r="Q212" s="29" t="s">
        <v>1130</v>
      </c>
      <c r="R212" s="29"/>
      <c r="S212" s="29" t="s">
        <v>1055</v>
      </c>
      <c r="T212" s="29"/>
    </row>
    <row r="213" spans="1:20">
      <c r="A213" s="29">
        <v>212</v>
      </c>
      <c r="B213" s="29" t="s">
        <v>1056</v>
      </c>
      <c r="C213" s="29"/>
      <c r="D213" s="29"/>
      <c r="E213" s="29"/>
      <c r="F213" s="29" t="s">
        <v>1057</v>
      </c>
      <c r="G213" s="29">
        <v>5</v>
      </c>
      <c r="H213" s="29">
        <v>1</v>
      </c>
      <c r="I213" s="29" t="s">
        <v>660</v>
      </c>
      <c r="J213" s="30" t="s">
        <v>1058</v>
      </c>
      <c r="K213" s="29"/>
      <c r="L213" s="29"/>
      <c r="M213" s="29"/>
      <c r="N213" s="29">
        <v>0</v>
      </c>
      <c r="O213" s="32">
        <v>0</v>
      </c>
      <c r="P213" s="29"/>
      <c r="Q213" s="29"/>
      <c r="R213" s="29"/>
      <c r="S213" s="29" t="s">
        <v>1059</v>
      </c>
      <c r="T213" s="29"/>
    </row>
    <row r="214" spans="1:20">
      <c r="A214" s="29">
        <v>213</v>
      </c>
      <c r="B214" s="29" t="s">
        <v>1060</v>
      </c>
      <c r="C214" s="38"/>
      <c r="D214" s="29"/>
      <c r="E214" s="29"/>
      <c r="F214" s="38" t="s">
        <v>1061</v>
      </c>
      <c r="G214" s="29">
        <v>6</v>
      </c>
      <c r="H214" s="29">
        <v>1</v>
      </c>
      <c r="I214" s="29">
        <v>1</v>
      </c>
      <c r="J214" s="29" t="s">
        <v>1062</v>
      </c>
      <c r="K214" s="29"/>
      <c r="L214" s="29"/>
      <c r="M214" s="29"/>
      <c r="N214" s="29">
        <v>1</v>
      </c>
      <c r="O214" s="32"/>
      <c r="P214" s="29"/>
      <c r="Q214" s="29" t="s">
        <v>1130</v>
      </c>
      <c r="R214" s="29"/>
      <c r="S214" s="29"/>
      <c r="T214" s="29"/>
    </row>
    <row r="215" spans="1:20">
      <c r="A215" s="29">
        <v>214</v>
      </c>
      <c r="B215" s="29" t="s">
        <v>1063</v>
      </c>
      <c r="C215" s="29"/>
      <c r="D215" s="29"/>
      <c r="E215" s="29"/>
      <c r="F215" s="38" t="s">
        <v>1064</v>
      </c>
      <c r="G215" s="29">
        <v>6</v>
      </c>
      <c r="H215" s="29">
        <v>0</v>
      </c>
      <c r="I215" s="29">
        <v>0</v>
      </c>
      <c r="J215" s="29"/>
      <c r="K215" s="29"/>
      <c r="L215" s="29"/>
      <c r="M215" s="29"/>
      <c r="N215" s="29">
        <v>0</v>
      </c>
      <c r="O215" s="32"/>
      <c r="P215" s="29"/>
      <c r="Q215" s="29"/>
      <c r="R215" s="29"/>
      <c r="S215" s="29"/>
      <c r="T215" s="29"/>
    </row>
    <row r="216" spans="1:20">
      <c r="A216" s="29">
        <v>215</v>
      </c>
      <c r="B216" s="29" t="s">
        <v>1065</v>
      </c>
      <c r="C216" s="29"/>
      <c r="D216" s="29"/>
      <c r="E216" s="29"/>
      <c r="F216" s="38" t="s">
        <v>1066</v>
      </c>
      <c r="G216" s="29">
        <v>6</v>
      </c>
      <c r="H216" s="29">
        <v>1</v>
      </c>
      <c r="I216" s="29">
        <v>0</v>
      </c>
      <c r="J216" s="29"/>
      <c r="K216" s="29"/>
      <c r="L216" s="29"/>
      <c r="M216" s="29"/>
      <c r="N216" s="29">
        <v>0</v>
      </c>
      <c r="O216" s="32"/>
      <c r="P216" s="29"/>
      <c r="Q216" s="29"/>
      <c r="R216" s="29"/>
      <c r="S216" s="29" t="s">
        <v>1067</v>
      </c>
      <c r="T216" s="29"/>
    </row>
    <row r="217" spans="1:20">
      <c r="A217" s="29">
        <v>216</v>
      </c>
      <c r="B217" s="29" t="s">
        <v>1068</v>
      </c>
      <c r="C217" s="29"/>
      <c r="D217" s="29"/>
      <c r="E217" s="29"/>
      <c r="F217" s="30" t="s">
        <v>1069</v>
      </c>
      <c r="G217" s="29">
        <v>6</v>
      </c>
      <c r="H217" s="29">
        <v>0</v>
      </c>
      <c r="I217" s="29">
        <v>0</v>
      </c>
      <c r="J217" s="29"/>
      <c r="K217" s="29"/>
      <c r="L217" s="29"/>
      <c r="M217" s="29"/>
      <c r="N217" s="29">
        <v>0</v>
      </c>
      <c r="O217" s="32"/>
      <c r="P217" s="29"/>
      <c r="Q217" s="29"/>
      <c r="R217" s="29"/>
      <c r="S217" s="29" t="s">
        <v>210</v>
      </c>
      <c r="T217" s="29"/>
    </row>
    <row r="218" spans="1:20">
      <c r="A218" s="29">
        <v>217</v>
      </c>
      <c r="B218" s="29" t="s">
        <v>1070</v>
      </c>
      <c r="C218" s="29"/>
      <c r="D218" s="29"/>
      <c r="E218" s="29"/>
      <c r="F218" s="30" t="s">
        <v>1071</v>
      </c>
      <c r="G218" s="29">
        <v>6</v>
      </c>
      <c r="H218" s="29">
        <v>1</v>
      </c>
      <c r="I218" s="29">
        <v>0</v>
      </c>
      <c r="J218" s="29"/>
      <c r="K218" s="29"/>
      <c r="L218" s="29"/>
      <c r="M218" s="29"/>
      <c r="N218" s="29">
        <v>0</v>
      </c>
      <c r="O218" s="29">
        <v>1</v>
      </c>
      <c r="P218" s="29"/>
      <c r="Q218" s="29"/>
      <c r="R218" s="29"/>
      <c r="S218" s="29"/>
      <c r="T218" s="29"/>
    </row>
    <row r="219" spans="1:20">
      <c r="A219" s="29">
        <v>218</v>
      </c>
      <c r="B219" s="30" t="s">
        <v>1072</v>
      </c>
      <c r="C219" s="29"/>
      <c r="D219" s="29"/>
      <c r="E219" s="29"/>
      <c r="F219" s="30"/>
      <c r="G219" s="29">
        <v>6</v>
      </c>
      <c r="H219" s="29">
        <v>1</v>
      </c>
      <c r="I219" s="29">
        <v>1</v>
      </c>
      <c r="J219" s="38" t="s">
        <v>1073</v>
      </c>
      <c r="K219" s="29"/>
      <c r="L219" s="29"/>
      <c r="M219" s="29"/>
      <c r="N219" s="29">
        <v>1</v>
      </c>
      <c r="O219" s="29"/>
      <c r="P219" s="29"/>
      <c r="Q219" s="29" t="s">
        <v>1131</v>
      </c>
      <c r="R219" s="29"/>
      <c r="S219" s="29"/>
      <c r="T219" s="29"/>
    </row>
    <row r="220" spans="1:20">
      <c r="A220" s="29">
        <v>219</v>
      </c>
      <c r="B220" s="30" t="s">
        <v>1074</v>
      </c>
      <c r="C220" s="29"/>
      <c r="D220" s="29"/>
      <c r="E220" s="29"/>
      <c r="F220" s="30"/>
      <c r="G220" s="29">
        <v>6</v>
      </c>
      <c r="H220" s="29">
        <v>1</v>
      </c>
      <c r="I220" s="29">
        <v>1</v>
      </c>
      <c r="J220" s="29" t="s">
        <v>1075</v>
      </c>
      <c r="K220" s="29"/>
      <c r="L220" s="29"/>
      <c r="M220" s="29"/>
      <c r="N220" s="29">
        <v>1</v>
      </c>
      <c r="O220" s="32">
        <v>0</v>
      </c>
      <c r="P220" s="29"/>
      <c r="Q220" s="29" t="s">
        <v>1130</v>
      </c>
      <c r="R220" s="29"/>
      <c r="S220" s="29"/>
      <c r="T220" s="29"/>
    </row>
    <row r="221" spans="1:20">
      <c r="A221" s="29">
        <v>220</v>
      </c>
      <c r="B221" s="29" t="s">
        <v>1076</v>
      </c>
      <c r="C221" s="29"/>
      <c r="D221" s="29"/>
      <c r="E221" s="29"/>
      <c r="F221" s="30" t="s">
        <v>1077</v>
      </c>
      <c r="G221" s="29">
        <v>6</v>
      </c>
      <c r="H221" s="29">
        <v>1</v>
      </c>
      <c r="I221" s="29">
        <v>1</v>
      </c>
      <c r="J221" s="29" t="s">
        <v>1078</v>
      </c>
      <c r="K221" s="29"/>
      <c r="L221" s="29"/>
      <c r="M221" s="29"/>
      <c r="N221" s="29">
        <v>1</v>
      </c>
      <c r="O221" s="32">
        <v>0</v>
      </c>
      <c r="P221" s="29"/>
      <c r="Q221" s="29" t="s">
        <v>1130</v>
      </c>
      <c r="R221" s="29"/>
      <c r="S221" s="29" t="s">
        <v>1079</v>
      </c>
      <c r="T221" s="29"/>
    </row>
    <row r="222" spans="1:20">
      <c r="A222" s="29">
        <v>221</v>
      </c>
      <c r="B222" s="29" t="s">
        <v>1080</v>
      </c>
      <c r="C222" s="29"/>
      <c r="D222" s="29"/>
      <c r="E222" s="29"/>
      <c r="F222" s="30" t="s">
        <v>1081</v>
      </c>
      <c r="G222" s="29">
        <v>6</v>
      </c>
      <c r="H222" s="29">
        <v>1</v>
      </c>
      <c r="I222" s="29" t="s">
        <v>660</v>
      </c>
      <c r="J222" s="29" t="s">
        <v>1082</v>
      </c>
      <c r="K222" s="29"/>
      <c r="L222" s="29"/>
      <c r="M222" s="29"/>
      <c r="N222" s="29" t="s">
        <v>660</v>
      </c>
      <c r="O222" s="29"/>
      <c r="P222" s="29"/>
      <c r="Q222" s="29"/>
      <c r="R222" s="29"/>
      <c r="S222" s="29" t="s">
        <v>1083</v>
      </c>
      <c r="T222" s="29"/>
    </row>
    <row r="223" spans="1:20">
      <c r="A223" s="29">
        <v>222</v>
      </c>
      <c r="B223" s="29" t="s">
        <v>1084</v>
      </c>
      <c r="C223" s="29"/>
      <c r="D223" s="29"/>
      <c r="E223" s="29"/>
      <c r="F223" s="30" t="s">
        <v>1085</v>
      </c>
      <c r="G223" s="29">
        <v>6</v>
      </c>
      <c r="H223" s="29">
        <v>1</v>
      </c>
      <c r="I223" s="29">
        <v>0</v>
      </c>
      <c r="J223" s="29"/>
      <c r="K223" s="29"/>
      <c r="L223" s="29"/>
      <c r="M223" s="29"/>
      <c r="N223" s="29">
        <v>0</v>
      </c>
      <c r="O223" s="29"/>
      <c r="P223" s="29"/>
      <c r="Q223" s="29"/>
      <c r="R223" s="29"/>
      <c r="S223" s="29"/>
    </row>
    <row r="224" spans="1:20">
      <c r="A224" s="29">
        <v>223</v>
      </c>
      <c r="B224" s="29" t="s">
        <v>1086</v>
      </c>
      <c r="C224" s="29"/>
      <c r="D224" s="29"/>
      <c r="E224" s="29"/>
      <c r="F224" s="39" t="s">
        <v>1087</v>
      </c>
      <c r="G224" s="29">
        <v>6</v>
      </c>
      <c r="H224" s="29">
        <v>1</v>
      </c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 t="s">
        <v>1088</v>
      </c>
    </row>
    <row r="225" spans="1:19">
      <c r="A225" s="29">
        <v>224</v>
      </c>
      <c r="B225" s="29" t="s">
        <v>1089</v>
      </c>
      <c r="C225" s="29"/>
      <c r="D225" s="29"/>
      <c r="E225" s="29"/>
      <c r="F225" s="30"/>
      <c r="G225" s="29">
        <v>3</v>
      </c>
      <c r="H225" s="29">
        <v>0</v>
      </c>
      <c r="I225" s="29">
        <v>0</v>
      </c>
      <c r="J225" s="29">
        <v>0</v>
      </c>
      <c r="K225" s="29">
        <v>0</v>
      </c>
      <c r="L225" s="29"/>
      <c r="M225" s="29"/>
      <c r="N225" s="29">
        <v>1</v>
      </c>
      <c r="O225" s="29">
        <v>1</v>
      </c>
      <c r="P225" s="29"/>
      <c r="Q225" s="29"/>
      <c r="R225" s="40">
        <v>44768</v>
      </c>
      <c r="S225" s="29"/>
    </row>
    <row r="226" spans="1:19">
      <c r="A226" s="29">
        <v>225</v>
      </c>
      <c r="B226" s="29" t="s">
        <v>1090</v>
      </c>
      <c r="C226" s="29"/>
      <c r="D226" s="29"/>
      <c r="E226" s="29"/>
      <c r="F226" s="42" t="s">
        <v>1091</v>
      </c>
      <c r="G226" s="29">
        <v>3</v>
      </c>
      <c r="H226" s="29">
        <v>1</v>
      </c>
      <c r="I226" s="29">
        <v>1</v>
      </c>
      <c r="J226" s="43" t="s">
        <v>1092</v>
      </c>
      <c r="K226" s="29"/>
      <c r="L226" s="29"/>
      <c r="M226" s="29"/>
      <c r="N226" s="29">
        <v>1</v>
      </c>
      <c r="O226" s="32">
        <v>0</v>
      </c>
      <c r="P226" s="29"/>
      <c r="Q226" s="29" t="s">
        <v>1130</v>
      </c>
      <c r="R226" s="29"/>
      <c r="S226" s="29"/>
    </row>
    <row r="227" spans="1:19">
      <c r="A227" s="29">
        <v>226</v>
      </c>
      <c r="B227" s="29" t="s">
        <v>1151</v>
      </c>
      <c r="C227" s="29"/>
      <c r="D227" s="29"/>
      <c r="E227" s="29"/>
      <c r="F227" s="30"/>
      <c r="G227" s="29">
        <v>6</v>
      </c>
      <c r="H227" s="29">
        <v>1</v>
      </c>
      <c r="I227" s="29">
        <v>0</v>
      </c>
      <c r="J227" s="29"/>
      <c r="K227" s="29"/>
      <c r="L227" s="29"/>
      <c r="M227" s="29"/>
      <c r="N227" s="29">
        <v>0</v>
      </c>
      <c r="O227" s="29">
        <v>0</v>
      </c>
      <c r="P227" s="29"/>
      <c r="Q227" s="29"/>
      <c r="R227" s="29"/>
      <c r="S227" s="29"/>
    </row>
    <row r="228" spans="1:19">
      <c r="A228" s="29">
        <v>227</v>
      </c>
      <c r="B228" s="29" t="s">
        <v>1152</v>
      </c>
      <c r="C228" s="29"/>
      <c r="D228" s="29"/>
      <c r="E228" s="29"/>
      <c r="F228" s="30"/>
      <c r="G228" s="29">
        <v>6</v>
      </c>
      <c r="H228" s="29">
        <v>1</v>
      </c>
      <c r="I228" s="29">
        <v>1</v>
      </c>
      <c r="J228" s="29"/>
      <c r="K228" s="29"/>
      <c r="L228" s="29"/>
      <c r="M228" s="29"/>
      <c r="N228" s="29">
        <v>1</v>
      </c>
      <c r="O228" s="32">
        <v>0</v>
      </c>
      <c r="P228" s="29"/>
      <c r="Q228" s="29" t="s">
        <v>1130</v>
      </c>
      <c r="R228" s="29"/>
      <c r="S228" s="29"/>
    </row>
    <row r="229" spans="1:19">
      <c r="A229" s="29">
        <v>228</v>
      </c>
      <c r="B229" s="29" t="s">
        <v>1153</v>
      </c>
      <c r="C229" s="29"/>
      <c r="D229" s="29"/>
      <c r="E229" s="29"/>
      <c r="F229" s="30"/>
      <c r="G229" s="29">
        <v>6</v>
      </c>
      <c r="H229" s="29">
        <v>1</v>
      </c>
      <c r="I229" s="29">
        <v>1</v>
      </c>
      <c r="J229" s="29"/>
      <c r="K229" s="29"/>
      <c r="L229" s="29"/>
      <c r="M229" s="29"/>
      <c r="N229" s="29">
        <v>1</v>
      </c>
      <c r="O229" s="32">
        <v>0</v>
      </c>
      <c r="P229" s="29"/>
      <c r="Q229" s="29" t="s">
        <v>1130</v>
      </c>
      <c r="R229" s="29"/>
      <c r="S229" s="29"/>
    </row>
    <row r="230" spans="1:19">
      <c r="A230" s="56">
        <v>229</v>
      </c>
      <c r="B230" s="56" t="s">
        <v>1155</v>
      </c>
      <c r="C230" s="56"/>
      <c r="D230" s="56"/>
      <c r="E230" s="56"/>
      <c r="F230" s="57"/>
      <c r="G230" s="56">
        <v>3</v>
      </c>
      <c r="H230" s="56">
        <v>1</v>
      </c>
      <c r="I230" s="58"/>
      <c r="J230" s="58"/>
      <c r="K230" s="58"/>
      <c r="L230" s="58"/>
      <c r="M230" s="58"/>
      <c r="N230" s="58"/>
      <c r="O230" s="58"/>
      <c r="P230" s="56"/>
      <c r="Q230" s="56" t="s">
        <v>1154</v>
      </c>
      <c r="R230" s="56"/>
      <c r="S230" s="56"/>
    </row>
    <row r="231" spans="1:19">
      <c r="A231" s="56">
        <v>230</v>
      </c>
      <c r="B231" s="56" t="s">
        <v>1157</v>
      </c>
      <c r="C231" s="56"/>
      <c r="D231" s="56"/>
      <c r="E231" s="56"/>
      <c r="F231" s="57"/>
      <c r="G231" s="56">
        <v>3</v>
      </c>
      <c r="H231" s="56">
        <v>1</v>
      </c>
      <c r="I231" s="58"/>
      <c r="J231" s="58"/>
      <c r="K231" s="58"/>
      <c r="L231" s="58"/>
      <c r="M231" s="58"/>
      <c r="N231" s="58"/>
      <c r="O231" s="58"/>
      <c r="P231" s="56"/>
      <c r="Q231" s="56" t="s">
        <v>1154</v>
      </c>
      <c r="R231" s="56"/>
      <c r="S231" s="56"/>
    </row>
    <row r="232" spans="1:19">
      <c r="A232" s="56">
        <v>231</v>
      </c>
      <c r="B232" s="56" t="s">
        <v>1158</v>
      </c>
      <c r="C232" s="56"/>
      <c r="D232" s="56"/>
      <c r="E232" s="56"/>
      <c r="F232" s="57"/>
      <c r="G232" s="56">
        <v>3</v>
      </c>
      <c r="H232" s="56">
        <v>1</v>
      </c>
      <c r="I232" s="58"/>
      <c r="J232" s="58"/>
      <c r="K232" s="58"/>
      <c r="L232" s="58"/>
      <c r="M232" s="58"/>
      <c r="N232" s="58"/>
      <c r="O232" s="58"/>
      <c r="P232" s="56"/>
      <c r="Q232" s="56" t="s">
        <v>1154</v>
      </c>
      <c r="R232" s="56"/>
      <c r="S232" s="56"/>
    </row>
    <row r="233" spans="1:19">
      <c r="A233" s="56">
        <v>232</v>
      </c>
      <c r="B233" s="56" t="s">
        <v>1156</v>
      </c>
      <c r="C233" s="56"/>
      <c r="D233" s="56"/>
      <c r="E233" s="56"/>
      <c r="F233" s="57"/>
      <c r="G233" s="56">
        <v>5</v>
      </c>
      <c r="H233" s="56">
        <v>1</v>
      </c>
      <c r="I233" s="58"/>
      <c r="J233" s="58"/>
      <c r="K233" s="58"/>
      <c r="L233" s="58"/>
      <c r="M233" s="58"/>
      <c r="N233" s="58"/>
      <c r="O233" s="58"/>
      <c r="P233" s="56"/>
      <c r="Q233" s="56" t="s">
        <v>1154</v>
      </c>
      <c r="R233" s="56"/>
      <c r="S233" s="56"/>
    </row>
    <row r="234" spans="1:19">
      <c r="A234" s="29">
        <v>233</v>
      </c>
      <c r="B234" s="29" t="s">
        <v>1159</v>
      </c>
      <c r="C234" s="29"/>
      <c r="D234" s="29"/>
      <c r="E234" s="29"/>
      <c r="F234" s="30"/>
      <c r="G234" s="29">
        <v>3</v>
      </c>
      <c r="H234" s="29">
        <v>0</v>
      </c>
      <c r="I234" s="29">
        <v>0</v>
      </c>
      <c r="J234" s="29"/>
      <c r="K234" s="29"/>
      <c r="L234" s="29"/>
      <c r="M234" s="29"/>
      <c r="N234" s="29">
        <v>1</v>
      </c>
      <c r="O234" s="29">
        <v>1</v>
      </c>
      <c r="P234" s="29"/>
      <c r="Q234" s="29"/>
      <c r="R234" s="40">
        <v>44810</v>
      </c>
      <c r="S234" s="29"/>
    </row>
    <row r="235" spans="1:19">
      <c r="A235" s="29">
        <v>234</v>
      </c>
      <c r="B235" s="29" t="s">
        <v>1160</v>
      </c>
      <c r="C235" s="29"/>
      <c r="D235" s="29"/>
      <c r="E235" s="29"/>
      <c r="F235" s="30"/>
      <c r="G235" s="29">
        <v>6</v>
      </c>
      <c r="H235" s="29">
        <v>1</v>
      </c>
      <c r="I235" s="29">
        <v>0</v>
      </c>
      <c r="J235" s="29"/>
      <c r="K235" s="29"/>
      <c r="L235" s="29"/>
      <c r="M235" s="29"/>
      <c r="N235" s="29">
        <v>0</v>
      </c>
      <c r="O235" s="29">
        <v>0</v>
      </c>
      <c r="P235" s="29"/>
      <c r="Q235" s="29" t="s">
        <v>357</v>
      </c>
      <c r="R235" s="29"/>
      <c r="S235" s="29"/>
    </row>
    <row r="236" spans="1:19">
      <c r="A236" s="29">
        <v>235</v>
      </c>
      <c r="B236" s="29" t="s">
        <v>1162</v>
      </c>
      <c r="C236" s="29"/>
      <c r="D236" s="29"/>
      <c r="E236" s="29"/>
      <c r="F236" s="30"/>
      <c r="G236" s="29">
        <v>6</v>
      </c>
      <c r="H236" s="29">
        <v>0</v>
      </c>
      <c r="I236" s="59"/>
      <c r="J236" s="59"/>
      <c r="K236" s="59"/>
      <c r="L236" s="59"/>
      <c r="M236" s="59"/>
      <c r="N236" s="59"/>
      <c r="O236" s="59"/>
      <c r="P236" s="29"/>
      <c r="Q236" s="56" t="s">
        <v>1154</v>
      </c>
      <c r="R236" s="29"/>
      <c r="S236" s="29"/>
    </row>
    <row r="237" spans="1:19">
      <c r="A237" s="29">
        <v>236</v>
      </c>
      <c r="B237" s="29" t="s">
        <v>1163</v>
      </c>
      <c r="C237" s="29"/>
      <c r="D237" s="29"/>
      <c r="E237" s="29"/>
      <c r="F237" s="30"/>
      <c r="G237" s="29">
        <v>6</v>
      </c>
      <c r="H237" s="29">
        <v>0</v>
      </c>
      <c r="I237" s="59"/>
      <c r="J237" s="59"/>
      <c r="K237" s="59"/>
      <c r="L237" s="59"/>
      <c r="M237" s="59"/>
      <c r="N237" s="59"/>
      <c r="O237" s="59"/>
      <c r="P237" s="29"/>
      <c r="Q237" s="56" t="s">
        <v>1154</v>
      </c>
      <c r="R237" s="29"/>
      <c r="S237" s="29"/>
    </row>
    <row r="238" spans="1:19">
      <c r="A238" s="29">
        <v>237</v>
      </c>
      <c r="B238" s="29" t="s">
        <v>1164</v>
      </c>
      <c r="C238" s="29"/>
      <c r="D238" s="29"/>
      <c r="E238" s="29"/>
      <c r="F238" s="30"/>
      <c r="G238" s="29">
        <v>5</v>
      </c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</row>
    <row r="239" spans="1:19">
      <c r="A239" s="29">
        <v>238</v>
      </c>
      <c r="B239" s="30" t="s">
        <v>1165</v>
      </c>
      <c r="C239" s="29"/>
      <c r="D239" s="29"/>
      <c r="E239" s="29"/>
      <c r="F239" s="30"/>
      <c r="G239" s="29">
        <v>6</v>
      </c>
      <c r="H239" s="29">
        <v>1</v>
      </c>
      <c r="I239" s="29">
        <v>1</v>
      </c>
      <c r="J239" s="29"/>
      <c r="K239" s="29"/>
      <c r="L239" s="29"/>
      <c r="M239" s="29"/>
      <c r="N239" s="29">
        <v>0</v>
      </c>
      <c r="O239" s="29"/>
      <c r="P239" s="29"/>
      <c r="Q239" s="29"/>
      <c r="R239" s="29"/>
      <c r="S239" s="29"/>
    </row>
    <row r="240" spans="1:19">
      <c r="A240" s="29">
        <v>239</v>
      </c>
      <c r="B240" s="29" t="s">
        <v>1166</v>
      </c>
      <c r="C240" s="29"/>
      <c r="D240" s="29"/>
      <c r="E240" s="29"/>
      <c r="F240" s="30"/>
      <c r="G240" s="29">
        <v>6</v>
      </c>
      <c r="H240" s="29"/>
      <c r="I240" s="60"/>
      <c r="J240" s="60"/>
      <c r="K240" s="60"/>
      <c r="L240" s="60"/>
      <c r="M240" s="60"/>
      <c r="N240" s="60"/>
      <c r="O240" s="60"/>
      <c r="P240" s="29"/>
      <c r="Q240" s="56" t="s">
        <v>1154</v>
      </c>
      <c r="R240" s="29"/>
      <c r="S240" s="29"/>
    </row>
    <row r="241" spans="1:19">
      <c r="A241" s="61">
        <v>240</v>
      </c>
      <c r="B241" s="30" t="s">
        <v>1167</v>
      </c>
      <c r="C241" s="61"/>
      <c r="D241" s="61"/>
      <c r="E241" s="61"/>
      <c r="F241" s="30"/>
      <c r="G241" s="61">
        <v>6</v>
      </c>
      <c r="H241" s="61">
        <v>0</v>
      </c>
      <c r="I241" s="61"/>
      <c r="J241" s="61"/>
      <c r="K241" s="61"/>
      <c r="L241" s="61"/>
      <c r="M241" s="61"/>
      <c r="N241" s="61">
        <v>0</v>
      </c>
      <c r="O241" s="61">
        <v>0</v>
      </c>
      <c r="P241" s="61"/>
      <c r="Q241" s="61"/>
      <c r="R241" s="61"/>
      <c r="S241" s="61"/>
    </row>
    <row r="242" spans="1:19">
      <c r="A242" s="29"/>
      <c r="B242" s="29"/>
      <c r="C242" s="29"/>
      <c r="D242" s="29"/>
      <c r="E242" s="29"/>
      <c r="F242" s="30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</row>
    <row r="243" spans="1:19">
      <c r="A243" s="29"/>
      <c r="B243" s="29"/>
      <c r="C243" s="29"/>
      <c r="D243" s="29"/>
      <c r="E243" s="29"/>
      <c r="F243" s="30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</row>
    <row r="244" spans="1:19">
      <c r="A244" s="29"/>
      <c r="B244" s="29"/>
      <c r="C244" s="29"/>
      <c r="D244" s="29"/>
      <c r="E244" s="29"/>
      <c r="F244" s="30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</row>
    <row r="245" spans="1:19">
      <c r="A245" s="29"/>
      <c r="B245" s="29"/>
      <c r="C245" s="29"/>
      <c r="D245" s="29"/>
      <c r="E245" s="29"/>
      <c r="F245" s="30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</row>
    <row r="246" spans="1:19">
      <c r="A246" s="50"/>
      <c r="B246" s="50"/>
      <c r="F246" s="51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</row>
    <row r="247" spans="1:19">
      <c r="D247" s="50" t="s">
        <v>1093</v>
      </c>
      <c r="F247" s="50">
        <v>1</v>
      </c>
      <c r="G247" s="50">
        <f t="shared" ref="G247:G252" si="0">COUNTIF($G$1:$G$197,F247)</f>
        <v>155</v>
      </c>
    </row>
    <row r="248" spans="1:19">
      <c r="D248" s="50" t="s">
        <v>1094</v>
      </c>
      <c r="F248" s="50">
        <v>2</v>
      </c>
      <c r="G248" s="50">
        <f t="shared" si="0"/>
        <v>12</v>
      </c>
    </row>
    <row r="249" spans="1:19">
      <c r="D249" s="50" t="s">
        <v>1095</v>
      </c>
      <c r="F249" s="50">
        <v>3</v>
      </c>
      <c r="G249" s="50">
        <f t="shared" si="0"/>
        <v>5</v>
      </c>
    </row>
    <row r="250" spans="1:19">
      <c r="D250" s="50" t="s">
        <v>1096</v>
      </c>
      <c r="F250" s="50">
        <v>4</v>
      </c>
      <c r="G250" s="50">
        <f t="shared" si="0"/>
        <v>19</v>
      </c>
    </row>
    <row r="251" spans="1:19">
      <c r="D251" s="50" t="s">
        <v>1097</v>
      </c>
      <c r="F251" s="50">
        <v>5</v>
      </c>
      <c r="G251" s="50">
        <f t="shared" si="0"/>
        <v>4</v>
      </c>
    </row>
    <row r="252" spans="1:19">
      <c r="D252" s="50" t="s">
        <v>1098</v>
      </c>
      <c r="F252" s="50">
        <v>6</v>
      </c>
      <c r="G252" s="50">
        <f t="shared" si="0"/>
        <v>1</v>
      </c>
    </row>
  </sheetData>
  <phoneticPr fontId="6" type="noConversion"/>
  <conditionalFormatting sqref="G18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04857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4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2:G24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M2" r:id="rId1" display="mailto:badame@ou.edu" xr:uid="{00000000-0004-0000-0000-000000000000}"/>
    <hyperlink ref="M3" r:id="rId2" xr:uid="{00000000-0004-0000-0000-000001000000}"/>
    <hyperlink ref="J5" r:id="rId3" display="https://osf.io/s94px/" xr:uid="{00000000-0004-0000-0000-000002000000}"/>
    <hyperlink ref="J6" r:id="rId4" display="https://osf.io/byj4w/" xr:uid="{00000000-0004-0000-0000-000003000000}"/>
    <hyperlink ref="J7" r:id="rId5" display="https://osf.io/fd4vm/" xr:uid="{00000000-0004-0000-0000-000004000000}"/>
    <hyperlink ref="M8" r:id="rId6" xr:uid="{00000000-0004-0000-0000-000005000000}"/>
    <hyperlink ref="M10" r:id="rId7" xr:uid="{00000000-0004-0000-0000-000006000000}"/>
    <hyperlink ref="M11" r:id="rId8" xr:uid="{00000000-0004-0000-0000-000007000000}"/>
    <hyperlink ref="M12" r:id="rId9" xr:uid="{00000000-0004-0000-0000-000008000000}"/>
    <hyperlink ref="J13" r:id="rId10" display="https://osf.io/nqg97/" xr:uid="{00000000-0004-0000-0000-000009000000}"/>
    <hyperlink ref="M14" r:id="rId11" display="mailto:ntb@unc.edu" xr:uid="{00000000-0004-0000-0000-00000A000000}"/>
    <hyperlink ref="M15" r:id="rId12" xr:uid="{00000000-0004-0000-0000-00000B000000}"/>
    <hyperlink ref="M16" r:id="rId13" display="mailto:sburton@uark.edu" xr:uid="{00000000-0004-0000-0000-00000C000000}"/>
    <hyperlink ref="M17" r:id="rId14" display="mailto:bill_petrusic@carleton.ca" xr:uid="{00000000-0004-0000-0000-00000D000000}"/>
    <hyperlink ref="M19" r:id="rId15" display="mailto:dcervone@uic.edu" xr:uid="{00000000-0004-0000-0000-00000E000000}"/>
    <hyperlink ref="M20" r:id="rId16" xr:uid="{00000000-0004-0000-0000-00000F000000}"/>
    <hyperlink ref="M21" r:id="rId17" xr:uid="{00000000-0004-0000-0000-000010000000}"/>
    <hyperlink ref="M22" r:id="rId18" xr:uid="{00000000-0004-0000-0000-000011000000}"/>
    <hyperlink ref="M23" r:id="rId19" xr:uid="{00000000-0004-0000-0000-000012000000}"/>
    <hyperlink ref="M24" r:id="rId20" display="mailto:bschwar1@swarthmore.edu" xr:uid="{00000000-0004-0000-0000-000013000000}"/>
    <hyperlink ref="J25" r:id="rId21" display="https://osf.io/cbf3t/" xr:uid="{00000000-0004-0000-0000-000014000000}"/>
    <hyperlink ref="J26" r:id="rId22" display="https://osf.io/e37xk/" xr:uid="{00000000-0004-0000-0000-000015000000}"/>
    <hyperlink ref="J27" r:id="rId23" display="https://osf.io/e2k8d/" xr:uid="{00000000-0004-0000-0000-000016000000}"/>
    <hyperlink ref="M31" r:id="rId24" display="https://www.researchgate.net/profile/Katarina-Dudekova" xr:uid="{00000000-0004-0000-0000-000017000000}"/>
    <hyperlink ref="M39" r:id="rId25" display="mailto:epley@chicagobooth.edu" xr:uid="{00000000-0004-0000-0000-000018000000}"/>
    <hyperlink ref="M40" r:id="rId26" display="mailto:epley@chicagobooth.edu" xr:uid="{00000000-0004-0000-0000-000019000000}"/>
    <hyperlink ref="M41" r:id="rId27" display="mailto:epley@chicagobooth.edu" xr:uid="{00000000-0004-0000-0000-00001A000000}"/>
    <hyperlink ref="M42" r:id="rId28" display="mailto:epley@chicagobooth.edu" xr:uid="{00000000-0004-0000-0000-00001B000000}"/>
    <hyperlink ref="J43" r:id="rId29" display="https://osf.io/u867j/" xr:uid="{00000000-0004-0000-0000-00001C000000}"/>
    <hyperlink ref="J44" r:id="rId30" display="https://osf.io/mqg7d/" xr:uid="{00000000-0004-0000-0000-00001D000000}"/>
    <hyperlink ref="K44" r:id="rId31" display="https://osf.io/dq48j/" xr:uid="{00000000-0004-0000-0000-00001E000000}"/>
    <hyperlink ref="J46" r:id="rId32" display="https://osf.io/ef8pk/" xr:uid="{00000000-0004-0000-0000-00001F000000}"/>
    <hyperlink ref="J53" r:id="rId33" display="https://osf.io/jtx34/" xr:uid="{00000000-0004-0000-0000-000020000000}"/>
    <hyperlink ref="J59" r:id="rId34" xr:uid="{00000000-0004-0000-0000-000021000000}"/>
    <hyperlink ref="M60" r:id="rId35" display="https://it.linkedin.com/in/dorina-hysenbelli-phd-45b7577a" xr:uid="{00000000-0004-0000-0000-000022000000}"/>
    <hyperlink ref="M65" r:id="rId36" xr:uid="{00000000-0004-0000-0000-000023000000}"/>
    <hyperlink ref="J66" r:id="rId37" display="https://osf.io/s9m63/?view_only=6695f67997754d379ad504a4cf8ca8d4" xr:uid="{00000000-0004-0000-0000-000024000000}"/>
    <hyperlink ref="J70" r:id="rId38" display="https://osf.io/6ekxd/" xr:uid="{00000000-0004-0000-0000-000025000000}"/>
    <hyperlink ref="J72" r:id="rId39" display="https://osf.io/85apc/" xr:uid="{00000000-0004-0000-0000-000026000000}"/>
    <hyperlink ref="J76" r:id="rId40" display="https://osf.io/8rbvz/files/" xr:uid="{00000000-0004-0000-0000-000027000000}"/>
    <hyperlink ref="J79" r:id="rId41" display="https://osf.io/b8zft/" xr:uid="{00000000-0004-0000-0000-000028000000}"/>
    <hyperlink ref="M80" r:id="rId42" xr:uid="{00000000-0004-0000-0000-000029000000}"/>
    <hyperlink ref="M85" r:id="rId43" display="https://drtoddmcelroyswebsite.com/contact-dr-todd-mcelroy/" xr:uid="{00000000-0004-0000-0000-00002A000000}"/>
    <hyperlink ref="M86" r:id="rId44" display="https://drtoddmcelroyswebsite.com/contact-dr-todd-mcelroy/" xr:uid="{00000000-0004-0000-0000-00002B000000}"/>
    <hyperlink ref="M105" r:id="rId45" xr:uid="{00000000-0004-0000-0000-00002C000000}"/>
    <hyperlink ref="M107" r:id="rId46" xr:uid="{00000000-0004-0000-0000-00002D000000}"/>
    <hyperlink ref="J108" r:id="rId47" display="https://osf.io/syvrm/" xr:uid="{00000000-0004-0000-0000-00002E000000}"/>
    <hyperlink ref="M110" r:id="rId48" xr:uid="{00000000-0004-0000-0000-00002F000000}"/>
    <hyperlink ref="J120" r:id="rId49" display="https://osf.io/r48wq/" xr:uid="{00000000-0004-0000-0000-000030000000}"/>
    <hyperlink ref="M121" r:id="rId50" xr:uid="{00000000-0004-0000-0000-000031000000}"/>
    <hyperlink ref="J124" r:id="rId51" display="https://osf.io/8ynwu/" xr:uid="{00000000-0004-0000-0000-000032000000}"/>
    <hyperlink ref="M133" r:id="rId52" display="https://www.researchgate.net/profile/Michelle-St-Amand-Johnson" xr:uid="{00000000-0004-0000-0000-000033000000}"/>
    <hyperlink ref="Q134" r:id="rId53" display="https://www.omroepbrabant.nl/nieuws/1911782/studenten-wisselend-over-colleges-diederik-stapel-bij-fontys-ik-neem-het-met-een-korreltje-zout" xr:uid="{00000000-0004-0000-0000-000034000000}"/>
    <hyperlink ref="M146" r:id="rId54" xr:uid="{00000000-0004-0000-0000-000035000000}"/>
    <hyperlink ref="J153" r:id="rId55" display="https://osf.io/u2x7j/?view_only=8de1c27063a347999c7be50bc2a1a2f5" xr:uid="{00000000-0004-0000-0000-000036000000}"/>
    <hyperlink ref="J154" r:id="rId56" display="https://osf.io/je5at/?view_only=0efbc093a7154e7d8ce7cded9e430137" xr:uid="{00000000-0004-0000-0000-000037000000}"/>
    <hyperlink ref="J102" r:id="rId57" display="https://osf.io/ynxc7/?view_only=d3dee8120ee14793851a6db6545a3af7" xr:uid="{00000000-0004-0000-0000-000038000000}"/>
    <hyperlink ref="M35" r:id="rId58" xr:uid="{00000000-0004-0000-0000-000039000000}"/>
    <hyperlink ref="F185" r:id="rId59" xr:uid="{00000000-0004-0000-0000-00003A000000}"/>
    <hyperlink ref="F195" r:id="rId60" xr:uid="{00000000-0004-0000-0000-00003B000000}"/>
    <hyperlink ref="F198" r:id="rId61" xr:uid="{00000000-0004-0000-0000-00003C000000}"/>
    <hyperlink ref="F2" r:id="rId62" xr:uid="{00000000-0004-0000-0000-00003D000000}"/>
    <hyperlink ref="F197" r:id="rId63" location="s0095" xr:uid="{00000000-0004-0000-0000-00003E000000}"/>
    <hyperlink ref="F196" r:id="rId64" xr:uid="{00000000-0004-0000-0000-00003F000000}"/>
    <hyperlink ref="F203" r:id="rId65" xr:uid="{00000000-0004-0000-0000-000040000000}"/>
    <hyperlink ref="F206" r:id="rId66" xr:uid="{00000000-0004-0000-0000-000041000000}"/>
    <hyperlink ref="F211" r:id="rId67" xr:uid="{00000000-0004-0000-0000-000042000000}"/>
    <hyperlink ref="F214" r:id="rId68" tooltip="https://www.researchgate.net/publication/351376101_Combined_Anchoring_Prosecution_and_defense_claims_as_sequential_anchors_in_the_courtroom" xr:uid="{00000000-0004-0000-0000-000043000000}"/>
    <hyperlink ref="E78" r:id="rId69" display="http://dx.doi.org/10.1016/j.jebo.2019.04.014" xr:uid="{00000000-0004-0000-0000-000044000000}"/>
    <hyperlink ref="F115" r:id="rId70" display="https://psycnet.apa.org/doi/10.1177/001316447003000211" xr:uid="{00000000-0004-0000-0000-000045000000}"/>
    <hyperlink ref="B173" r:id="rId71" display="http://dx.doi.org/10.4236/psych.2014.52014" xr:uid="{00000000-0004-0000-0000-000046000000}"/>
    <hyperlink ref="B205" r:id="rId72" display="https://psycnet.apa.org/doi/10.1016/j.obhdp.2015.05.004" xr:uid="{00000000-0004-0000-0000-000047000000}"/>
    <hyperlink ref="B206" r:id="rId73" display="https://psycnet.apa.org/doi/10.1037/npe0000153" xr:uid="{00000000-0004-0000-0000-000048000000}"/>
    <hyperlink ref="B207" r:id="rId74" display="https://psycnet.apa.org/doi/10.1027/1618-3169/a000534" xr:uid="{00000000-0004-0000-0000-000049000000}"/>
    <hyperlink ref="B124" r:id="rId75" display="https://doi.org/10.1525/collabra.310" xr:uid="{00000000-0004-0000-0000-00004A000000}"/>
    <hyperlink ref="F215" r:id="rId76" tooltip="https://www.sciencedirect.com/science/article/abs/pii/s0167487022000319" xr:uid="{00000000-0004-0000-0000-00004B000000}"/>
    <hyperlink ref="F216" r:id="rId77" tooltip="https://www.frontiersin.org/articles/10.3389/fpsyg.2022.828956/full" xr:uid="{00000000-0004-0000-0000-00004C000000}"/>
    <hyperlink ref="B219" r:id="rId78" tooltip="https://doi.org/10.1080/01621459.2022.2054816" display="https://doi.org/10.1080/01621459.2022.2054816" xr:uid="{00000000-0004-0000-0000-00004D000000}"/>
    <hyperlink ref="J219" r:id="rId79" tooltip="https://www.tandfonline.com/doi/full/10.1080/01621459.2022.2054816" display="https://www.tandfonline.com/doi/full/10.1080/01621459.2022.2054816" xr:uid="{00000000-0004-0000-0000-00004E000000}"/>
    <hyperlink ref="B220" r:id="rId80" tooltip="https://doi.org/10.1027/1864-9335/a000178" display="https://doi.org/10.1027/1864-9335/a000178" xr:uid="{00000000-0004-0000-0000-00004F000000}"/>
    <hyperlink ref="J209" r:id="rId81" xr:uid="{00000000-0004-0000-0000-000050000000}"/>
    <hyperlink ref="F221" r:id="rId82" tooltip="https://www.researchgate.net/publication/360855205_Spontaneous_Anchors_Bias_Consumers'_Divisions_Judgments_and_Behavior" xr:uid="{00000000-0004-0000-0000-000051000000}"/>
    <hyperlink ref="J111" r:id="rId83" xr:uid="{00000000-0004-0000-0000-000052000000}"/>
    <hyperlink ref="J112" r:id="rId84" xr:uid="{00000000-0004-0000-0000-000053000000}"/>
    <hyperlink ref="K112" r:id="rId85" xr:uid="{00000000-0004-0000-0000-000054000000}"/>
    <hyperlink ref="J114" r:id="rId86" display="https://osf.io/96de2/" xr:uid="{00000000-0004-0000-0000-000055000000}"/>
    <hyperlink ref="J195" r:id="rId87" xr:uid="{00000000-0004-0000-0000-000056000000}"/>
    <hyperlink ref="J213" r:id="rId88" xr:uid="{00000000-0004-0000-0000-000057000000}"/>
    <hyperlink ref="J160" r:id="rId89" xr:uid="{00000000-0004-0000-0000-000058000000}"/>
    <hyperlink ref="F224" r:id="rId90" tooltip="https://www.researchgate.net/publication/357256296_Does_Anything_Predict_Anchoring_Bias" xr:uid="{00000000-0004-0000-0000-000059000000}"/>
    <hyperlink ref="J226" r:id="rId91" xr:uid="{00000000-0004-0000-0000-00005A000000}"/>
    <hyperlink ref="F138" r:id="rId92" xr:uid="{8FBDA8CE-5A64-4EE6-8E2B-2868A7532F0A}"/>
  </hyperlinks>
  <pageMargins left="0.7" right="0.7" top="0.75" bottom="0.75" header="0.3" footer="0.3"/>
  <pageSetup paperSize="9" orientation="portrait" r:id="rId93"/>
  <tableParts count="1">
    <tablePart r:id="rId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14"/>
  <sheetViews>
    <sheetView workbookViewId="0">
      <selection activeCell="B14" sqref="B14"/>
    </sheetView>
  </sheetViews>
  <sheetFormatPr baseColWidth="10" defaultColWidth="11.44140625" defaultRowHeight="14.4"/>
  <cols>
    <col min="1" max="1" width="11.44140625" style="18"/>
    <col min="2" max="2" width="79.88671875" customWidth="1"/>
  </cols>
  <sheetData>
    <row r="1" spans="1:3">
      <c r="A1" s="19" t="s">
        <v>1099</v>
      </c>
      <c r="B1" s="1" t="s">
        <v>1100</v>
      </c>
    </row>
    <row r="2" spans="1:3">
      <c r="A2" s="18">
        <v>1</v>
      </c>
      <c r="B2" t="s">
        <v>1101</v>
      </c>
      <c r="C2" s="25" t="s">
        <v>1102</v>
      </c>
    </row>
    <row r="3" spans="1:3">
      <c r="A3" s="18">
        <v>2</v>
      </c>
      <c r="B3" t="s">
        <v>1103</v>
      </c>
      <c r="C3" s="25" t="s">
        <v>1102</v>
      </c>
    </row>
    <row r="4" spans="1:3">
      <c r="A4" s="18">
        <v>3</v>
      </c>
      <c r="B4" t="s">
        <v>1104</v>
      </c>
      <c r="C4" s="25" t="s">
        <v>1105</v>
      </c>
    </row>
    <row r="5" spans="1:3">
      <c r="A5" s="18">
        <v>4</v>
      </c>
      <c r="B5" t="s">
        <v>1106</v>
      </c>
      <c r="C5" s="25" t="s">
        <v>1102</v>
      </c>
    </row>
    <row r="7" spans="1:3">
      <c r="A7" s="19" t="s">
        <v>1107</v>
      </c>
      <c r="B7" s="1" t="s">
        <v>1108</v>
      </c>
    </row>
    <row r="8" spans="1:3">
      <c r="A8" s="21"/>
      <c r="B8" t="s">
        <v>1109</v>
      </c>
    </row>
    <row r="9" spans="1:3">
      <c r="A9" s="20"/>
      <c r="B9" t="s">
        <v>1110</v>
      </c>
    </row>
    <row r="10" spans="1:3">
      <c r="A10" s="22"/>
      <c r="B10" t="s">
        <v>1111</v>
      </c>
    </row>
    <row r="11" spans="1:3">
      <c r="A11" s="23"/>
      <c r="B11" t="s">
        <v>1112</v>
      </c>
    </row>
    <row r="12" spans="1:3">
      <c r="A12" s="24"/>
      <c r="B12" t="s">
        <v>1113</v>
      </c>
    </row>
    <row r="13" spans="1:3">
      <c r="A13" s="26"/>
      <c r="B13" t="s">
        <v>1114</v>
      </c>
    </row>
    <row r="14" spans="1:3">
      <c r="A14" s="28"/>
      <c r="B14" t="s">
        <v>1115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5"/>
  <sheetViews>
    <sheetView workbookViewId="0">
      <selection activeCell="N45" sqref="N45"/>
    </sheetView>
  </sheetViews>
  <sheetFormatPr baseColWidth="10" defaultColWidth="11.44140625" defaultRowHeight="14.4"/>
  <sheetData>
    <row r="1" spans="1:17">
      <c r="A1" s="2">
        <v>4</v>
      </c>
      <c r="B1" s="3" t="s">
        <v>35</v>
      </c>
      <c r="C1" s="3" t="s">
        <v>36</v>
      </c>
      <c r="D1" s="3" t="s">
        <v>37</v>
      </c>
      <c r="E1" s="3" t="s">
        <v>38</v>
      </c>
      <c r="F1" s="3">
        <v>1</v>
      </c>
      <c r="G1" s="3">
        <v>1</v>
      </c>
      <c r="H1" s="3">
        <v>1</v>
      </c>
      <c r="I1" s="4" t="s">
        <v>39</v>
      </c>
      <c r="J1" s="4"/>
      <c r="K1" s="3" t="s">
        <v>40</v>
      </c>
      <c r="L1" s="3"/>
      <c r="M1" s="3">
        <v>1</v>
      </c>
      <c r="N1" s="3">
        <v>1</v>
      </c>
      <c r="O1" s="3"/>
      <c r="P1" s="3"/>
      <c r="Q1" s="5" t="s">
        <v>41</v>
      </c>
    </row>
    <row r="2" spans="1:17">
      <c r="A2" s="6">
        <v>7</v>
      </c>
      <c r="B2" s="7" t="s">
        <v>1116</v>
      </c>
      <c r="C2" s="7" t="s">
        <v>50</v>
      </c>
      <c r="D2" s="7" t="s">
        <v>45</v>
      </c>
      <c r="E2" s="7"/>
      <c r="F2" s="7">
        <v>1</v>
      </c>
      <c r="G2" s="7">
        <v>1</v>
      </c>
      <c r="H2" s="7">
        <v>1</v>
      </c>
      <c r="I2" s="8" t="s">
        <v>51</v>
      </c>
      <c r="J2" s="8"/>
      <c r="K2" s="7" t="s">
        <v>52</v>
      </c>
      <c r="L2" s="7"/>
      <c r="M2" s="7">
        <v>1</v>
      </c>
      <c r="N2" s="7">
        <v>1</v>
      </c>
      <c r="O2" s="7"/>
      <c r="P2" s="7"/>
      <c r="Q2" s="9" t="s">
        <v>41</v>
      </c>
    </row>
    <row r="3" spans="1:17">
      <c r="A3" s="2">
        <v>24</v>
      </c>
      <c r="B3" s="3" t="s">
        <v>148</v>
      </c>
      <c r="C3" s="3" t="s">
        <v>149</v>
      </c>
      <c r="D3" s="3" t="s">
        <v>45</v>
      </c>
      <c r="E3" s="3"/>
      <c r="F3" s="3">
        <v>1</v>
      </c>
      <c r="G3" s="3">
        <v>1</v>
      </c>
      <c r="H3" s="3">
        <v>1</v>
      </c>
      <c r="I3" s="3"/>
      <c r="J3" s="3"/>
      <c r="K3" s="3"/>
      <c r="L3" s="4" t="s">
        <v>150</v>
      </c>
      <c r="M3" s="4">
        <v>1</v>
      </c>
      <c r="N3" s="3">
        <v>1</v>
      </c>
      <c r="O3" s="3">
        <v>2</v>
      </c>
      <c r="P3" s="3"/>
      <c r="Q3" s="5" t="s">
        <v>41</v>
      </c>
    </row>
    <row r="4" spans="1:17">
      <c r="A4" s="6">
        <v>25</v>
      </c>
      <c r="B4" s="7" t="s">
        <v>153</v>
      </c>
      <c r="C4" s="7" t="s">
        <v>154</v>
      </c>
      <c r="D4" s="7" t="s">
        <v>155</v>
      </c>
      <c r="E4" s="7" t="s">
        <v>156</v>
      </c>
      <c r="F4" s="7">
        <v>1</v>
      </c>
      <c r="G4" s="7">
        <v>1</v>
      </c>
      <c r="H4" s="7">
        <v>1</v>
      </c>
      <c r="I4" s="8" t="s">
        <v>157</v>
      </c>
      <c r="J4" s="8"/>
      <c r="K4" s="7" t="s">
        <v>158</v>
      </c>
      <c r="L4" s="7"/>
      <c r="M4" s="7"/>
      <c r="N4" s="7">
        <v>1</v>
      </c>
      <c r="O4" s="7">
        <v>2</v>
      </c>
      <c r="P4" s="7"/>
      <c r="Q4" s="9" t="s">
        <v>41</v>
      </c>
    </row>
    <row r="5" spans="1:17">
      <c r="A5" s="2">
        <v>27</v>
      </c>
      <c r="B5" s="3" t="s">
        <v>153</v>
      </c>
      <c r="C5" s="3" t="s">
        <v>167</v>
      </c>
      <c r="D5" s="3" t="s">
        <v>168</v>
      </c>
      <c r="E5" s="3" t="s">
        <v>169</v>
      </c>
      <c r="F5" s="3">
        <v>1</v>
      </c>
      <c r="G5" s="3">
        <v>1</v>
      </c>
      <c r="H5" s="3">
        <v>1</v>
      </c>
      <c r="I5" s="4" t="s">
        <v>170</v>
      </c>
      <c r="J5" s="4"/>
      <c r="K5" s="3" t="s">
        <v>171</v>
      </c>
      <c r="L5" s="3"/>
      <c r="M5" s="3"/>
      <c r="N5" s="3">
        <v>1</v>
      </c>
      <c r="O5" s="3">
        <v>2</v>
      </c>
      <c r="P5" s="3"/>
      <c r="Q5" s="5" t="s">
        <v>41</v>
      </c>
    </row>
    <row r="6" spans="1:17">
      <c r="A6" s="6">
        <v>49</v>
      </c>
      <c r="B6" s="7" t="s">
        <v>276</v>
      </c>
      <c r="C6" s="7" t="s">
        <v>277</v>
      </c>
      <c r="D6" s="7" t="s">
        <v>278</v>
      </c>
      <c r="E6" s="7"/>
      <c r="F6" s="7">
        <v>1</v>
      </c>
      <c r="G6" s="7">
        <v>1</v>
      </c>
      <c r="H6" s="7">
        <v>1</v>
      </c>
      <c r="I6" s="8" t="s">
        <v>279</v>
      </c>
      <c r="J6" s="7"/>
      <c r="K6" s="7" t="s">
        <v>280</v>
      </c>
      <c r="L6" s="7"/>
      <c r="M6" s="7">
        <v>1</v>
      </c>
      <c r="N6" s="7">
        <v>1</v>
      </c>
      <c r="O6" s="7"/>
      <c r="P6" s="7"/>
      <c r="Q6" s="9" t="s">
        <v>41</v>
      </c>
    </row>
    <row r="7" spans="1:17">
      <c r="A7" s="2">
        <v>56</v>
      </c>
      <c r="B7" s="3" t="s">
        <v>318</v>
      </c>
      <c r="C7" s="3" t="s">
        <v>319</v>
      </c>
      <c r="D7" s="3" t="s">
        <v>320</v>
      </c>
      <c r="E7" s="3" t="s">
        <v>321</v>
      </c>
      <c r="F7" s="3">
        <v>1</v>
      </c>
      <c r="G7" s="3">
        <v>1</v>
      </c>
      <c r="H7" s="3">
        <v>1</v>
      </c>
      <c r="I7" s="4" t="s">
        <v>322</v>
      </c>
      <c r="J7" s="3"/>
      <c r="K7" s="3" t="s">
        <v>323</v>
      </c>
      <c r="L7" s="3"/>
      <c r="M7" s="3">
        <v>1</v>
      </c>
      <c r="N7" s="3">
        <v>1</v>
      </c>
      <c r="O7" s="3"/>
      <c r="P7" s="3"/>
      <c r="Q7" s="5" t="s">
        <v>41</v>
      </c>
    </row>
    <row r="8" spans="1:17">
      <c r="A8" s="6">
        <v>73</v>
      </c>
      <c r="B8" s="7" t="s">
        <v>414</v>
      </c>
      <c r="C8" s="7" t="s">
        <v>415</v>
      </c>
      <c r="D8" s="7" t="s">
        <v>416</v>
      </c>
      <c r="E8" s="7"/>
      <c r="F8" s="7">
        <v>1</v>
      </c>
      <c r="G8" s="7">
        <v>1</v>
      </c>
      <c r="H8" s="7">
        <v>1</v>
      </c>
      <c r="I8" s="8" t="s">
        <v>417</v>
      </c>
      <c r="J8" s="7"/>
      <c r="K8" s="7" t="s">
        <v>418</v>
      </c>
      <c r="L8" s="7"/>
      <c r="M8" s="7">
        <v>1</v>
      </c>
      <c r="N8" s="7">
        <v>1</v>
      </c>
      <c r="O8" s="7"/>
      <c r="P8" s="7"/>
      <c r="Q8" s="9" t="s">
        <v>41</v>
      </c>
    </row>
    <row r="9" spans="1:17">
      <c r="A9" s="2">
        <v>76</v>
      </c>
      <c r="B9" s="3" t="s">
        <v>426</v>
      </c>
      <c r="C9" s="3" t="s">
        <v>427</v>
      </c>
      <c r="D9" s="3" t="s">
        <v>428</v>
      </c>
      <c r="E9" s="3" t="s">
        <v>429</v>
      </c>
      <c r="F9" s="3">
        <v>1</v>
      </c>
      <c r="G9" s="3">
        <v>1</v>
      </c>
      <c r="H9" s="3">
        <v>1</v>
      </c>
      <c r="I9" s="4" t="s">
        <v>430</v>
      </c>
      <c r="J9" s="3"/>
      <c r="K9" s="3" t="s">
        <v>431</v>
      </c>
      <c r="L9" s="3" t="s">
        <v>432</v>
      </c>
      <c r="M9" s="3">
        <v>1</v>
      </c>
      <c r="N9" s="3">
        <v>1</v>
      </c>
      <c r="O9" s="3"/>
      <c r="P9" s="3" t="s">
        <v>433</v>
      </c>
      <c r="Q9" s="5" t="s">
        <v>41</v>
      </c>
    </row>
    <row r="10" spans="1:17">
      <c r="A10" s="6">
        <v>80</v>
      </c>
      <c r="B10" s="7" t="s">
        <v>455</v>
      </c>
      <c r="C10" s="7" t="s">
        <v>456</v>
      </c>
      <c r="D10" s="7" t="s">
        <v>457</v>
      </c>
      <c r="E10" s="7" t="s">
        <v>458</v>
      </c>
      <c r="F10" s="7">
        <v>1</v>
      </c>
      <c r="G10" s="7">
        <v>1</v>
      </c>
      <c r="H10" s="7">
        <v>1</v>
      </c>
      <c r="I10" s="8" t="s">
        <v>459</v>
      </c>
      <c r="J10" s="7"/>
      <c r="K10" s="7" t="s">
        <v>460</v>
      </c>
      <c r="L10" s="7"/>
      <c r="M10" s="7">
        <v>1</v>
      </c>
      <c r="N10" s="7">
        <v>1</v>
      </c>
      <c r="O10" s="7"/>
      <c r="P10" s="7" t="s">
        <v>461</v>
      </c>
      <c r="Q10" s="9" t="s">
        <v>41</v>
      </c>
    </row>
    <row r="11" spans="1:17">
      <c r="A11" s="2">
        <v>109</v>
      </c>
      <c r="B11" s="3" t="s">
        <v>590</v>
      </c>
      <c r="C11" s="3" t="s">
        <v>591</v>
      </c>
      <c r="D11" s="3" t="s">
        <v>592</v>
      </c>
      <c r="E11" s="3" t="s">
        <v>593</v>
      </c>
      <c r="F11" s="3">
        <v>1</v>
      </c>
      <c r="G11" s="3">
        <v>1</v>
      </c>
      <c r="H11" s="3">
        <v>1</v>
      </c>
      <c r="I11" s="4" t="s">
        <v>594</v>
      </c>
      <c r="J11" s="3"/>
      <c r="K11" s="3" t="s">
        <v>595</v>
      </c>
      <c r="L11" s="3"/>
      <c r="M11" s="3">
        <v>1</v>
      </c>
      <c r="N11" s="3">
        <v>1</v>
      </c>
      <c r="O11" s="3"/>
      <c r="P11" s="3" t="s">
        <v>596</v>
      </c>
      <c r="Q11" s="5" t="s">
        <v>41</v>
      </c>
    </row>
    <row r="12" spans="1:17">
      <c r="A12" s="6">
        <v>119</v>
      </c>
      <c r="B12" s="7" t="s">
        <v>644</v>
      </c>
      <c r="C12" s="7" t="s">
        <v>645</v>
      </c>
      <c r="D12" s="7" t="s">
        <v>646</v>
      </c>
      <c r="E12" s="7"/>
      <c r="F12" s="7">
        <v>1</v>
      </c>
      <c r="G12" s="7">
        <v>1</v>
      </c>
      <c r="H12" s="7">
        <v>1</v>
      </c>
      <c r="I12" s="7"/>
      <c r="J12" s="7"/>
      <c r="K12" s="7"/>
      <c r="L12" s="7"/>
      <c r="M12" s="7"/>
      <c r="N12" s="7">
        <v>1</v>
      </c>
      <c r="O12" s="7">
        <v>2</v>
      </c>
      <c r="P12" s="7"/>
      <c r="Q12" s="9" t="s">
        <v>41</v>
      </c>
    </row>
    <row r="13" spans="1:17">
      <c r="A13" s="2">
        <v>120</v>
      </c>
      <c r="B13" s="3" t="s">
        <v>649</v>
      </c>
      <c r="C13" s="3" t="s">
        <v>650</v>
      </c>
      <c r="D13" s="3" t="s">
        <v>651</v>
      </c>
      <c r="E13" s="3"/>
      <c r="F13" s="3">
        <v>1</v>
      </c>
      <c r="G13" s="3"/>
      <c r="H13" s="3">
        <v>1</v>
      </c>
      <c r="I13" s="3"/>
      <c r="J13" s="3"/>
      <c r="K13" s="3"/>
      <c r="L13" s="3"/>
      <c r="M13" s="3">
        <v>1</v>
      </c>
      <c r="N13" s="3">
        <v>1</v>
      </c>
      <c r="O13" s="3"/>
      <c r="P13" s="3" t="s">
        <v>654</v>
      </c>
      <c r="Q13" s="5" t="s">
        <v>41</v>
      </c>
    </row>
    <row r="14" spans="1:17">
      <c r="A14" s="6">
        <v>121</v>
      </c>
      <c r="B14" s="7" t="s">
        <v>656</v>
      </c>
      <c r="C14" s="7" t="s">
        <v>657</v>
      </c>
      <c r="D14" s="7" t="s">
        <v>658</v>
      </c>
      <c r="E14" s="7" t="s">
        <v>659</v>
      </c>
      <c r="F14" s="7">
        <v>1</v>
      </c>
      <c r="G14" s="7">
        <v>1</v>
      </c>
      <c r="H14" s="7">
        <v>1</v>
      </c>
      <c r="I14" s="7"/>
      <c r="J14" s="7"/>
      <c r="K14" s="7"/>
      <c r="L14" s="7"/>
      <c r="M14" s="7"/>
      <c r="N14" s="7">
        <v>1</v>
      </c>
      <c r="O14" s="7">
        <v>2</v>
      </c>
      <c r="P14" s="7"/>
      <c r="Q14" s="9" t="s">
        <v>41</v>
      </c>
    </row>
    <row r="15" spans="1:17">
      <c r="A15" s="2">
        <v>122</v>
      </c>
      <c r="B15" s="3" t="s">
        <v>662</v>
      </c>
      <c r="C15" s="3" t="s">
        <v>663</v>
      </c>
      <c r="D15" s="3" t="s">
        <v>664</v>
      </c>
      <c r="E15" s="3" t="s">
        <v>665</v>
      </c>
      <c r="F15" s="3">
        <v>1</v>
      </c>
      <c r="G15" s="3"/>
      <c r="H15" s="3">
        <v>1</v>
      </c>
      <c r="I15" s="3"/>
      <c r="J15" s="3"/>
      <c r="K15" s="3"/>
      <c r="L15" s="3"/>
      <c r="M15" s="3">
        <v>1</v>
      </c>
      <c r="N15" s="3">
        <v>1</v>
      </c>
      <c r="O15" s="3"/>
      <c r="P15" s="3"/>
      <c r="Q15" s="5" t="s">
        <v>41</v>
      </c>
    </row>
    <row r="16" spans="1:17">
      <c r="A16" s="6">
        <v>128</v>
      </c>
      <c r="B16" s="7" t="s">
        <v>1117</v>
      </c>
      <c r="C16" s="7" t="s">
        <v>695</v>
      </c>
      <c r="D16" s="7" t="s">
        <v>696</v>
      </c>
      <c r="E16" s="7" t="s">
        <v>697</v>
      </c>
      <c r="F16" s="7">
        <v>3</v>
      </c>
      <c r="G16" s="7">
        <v>1</v>
      </c>
      <c r="H16" s="7">
        <v>1</v>
      </c>
      <c r="I16" s="8" t="s">
        <v>698</v>
      </c>
      <c r="J16" s="7"/>
      <c r="K16" s="7" t="s">
        <v>699</v>
      </c>
      <c r="L16" s="7"/>
      <c r="M16" s="7"/>
      <c r="N16" s="7">
        <v>1</v>
      </c>
      <c r="O16" s="7"/>
      <c r="P16" s="7"/>
      <c r="Q16" s="9" t="s">
        <v>41</v>
      </c>
    </row>
    <row r="17" spans="1:17">
      <c r="A17" s="2">
        <v>134</v>
      </c>
      <c r="B17" s="3" t="s">
        <v>716</v>
      </c>
      <c r="C17" s="3" t="s">
        <v>717</v>
      </c>
      <c r="D17" s="3" t="s">
        <v>718</v>
      </c>
      <c r="E17" s="3" t="s">
        <v>719</v>
      </c>
      <c r="F17" s="3">
        <v>1</v>
      </c>
      <c r="G17" s="3">
        <v>1</v>
      </c>
      <c r="H17" s="3">
        <v>1</v>
      </c>
      <c r="I17" s="4" t="s">
        <v>720</v>
      </c>
      <c r="J17" s="3"/>
      <c r="K17" s="3" t="s">
        <v>721</v>
      </c>
      <c r="L17" s="3"/>
      <c r="M17" s="3">
        <v>1</v>
      </c>
      <c r="N17" s="3">
        <v>1</v>
      </c>
      <c r="O17" s="3"/>
      <c r="P17" s="3"/>
      <c r="Q17" s="5" t="s">
        <v>41</v>
      </c>
    </row>
    <row r="18" spans="1:17">
      <c r="A18" s="6">
        <v>164</v>
      </c>
      <c r="B18" s="7" t="s">
        <v>883</v>
      </c>
      <c r="C18" s="7" t="s">
        <v>884</v>
      </c>
      <c r="D18" s="7" t="s">
        <v>45</v>
      </c>
      <c r="E18" s="7"/>
      <c r="F18" s="7">
        <v>1</v>
      </c>
      <c r="G18" s="7">
        <v>1</v>
      </c>
      <c r="H18" s="7">
        <v>1</v>
      </c>
      <c r="I18" s="8" t="s">
        <v>885</v>
      </c>
      <c r="J18" s="7"/>
      <c r="K18" s="7" t="s">
        <v>886</v>
      </c>
      <c r="L18" s="7"/>
      <c r="M18" s="7"/>
      <c r="N18" s="7">
        <v>1</v>
      </c>
      <c r="O18" s="7">
        <v>2</v>
      </c>
      <c r="P18" s="7"/>
      <c r="Q18" s="9" t="s">
        <v>41</v>
      </c>
    </row>
    <row r="19" spans="1:17">
      <c r="A19" s="2">
        <v>169</v>
      </c>
      <c r="B19" s="3" t="s">
        <v>910</v>
      </c>
      <c r="C19" s="3"/>
      <c r="D19" s="3"/>
      <c r="E19" s="3"/>
      <c r="F19" s="3">
        <v>2</v>
      </c>
      <c r="G19" s="3">
        <v>0</v>
      </c>
      <c r="H19" s="3">
        <v>1</v>
      </c>
      <c r="I19" s="3"/>
      <c r="J19" s="3"/>
      <c r="K19" s="3"/>
      <c r="L19" s="3"/>
      <c r="M19" s="3">
        <v>1</v>
      </c>
      <c r="N19" s="3">
        <v>1</v>
      </c>
      <c r="O19" s="3">
        <v>2</v>
      </c>
      <c r="P19" s="3"/>
      <c r="Q19" s="5" t="s">
        <v>41</v>
      </c>
    </row>
    <row r="20" spans="1:17">
      <c r="A20" s="6">
        <v>170</v>
      </c>
      <c r="B20" s="7" t="s">
        <v>912</v>
      </c>
      <c r="C20" s="7"/>
      <c r="D20" s="7"/>
      <c r="E20" s="7"/>
      <c r="F20" s="7">
        <v>2</v>
      </c>
      <c r="G20" s="7"/>
      <c r="H20" s="7"/>
      <c r="I20" s="7"/>
      <c r="J20" s="7"/>
      <c r="K20" s="7"/>
      <c r="L20" s="7"/>
      <c r="M20" s="7">
        <v>1</v>
      </c>
      <c r="N20" s="7">
        <v>1</v>
      </c>
      <c r="O20" s="7">
        <v>2</v>
      </c>
      <c r="P20" s="7"/>
      <c r="Q20" s="9" t="s">
        <v>41</v>
      </c>
    </row>
    <row r="21" spans="1:17">
      <c r="A21" s="2">
        <v>171</v>
      </c>
      <c r="B21" s="3" t="s">
        <v>914</v>
      </c>
      <c r="C21" s="3"/>
      <c r="D21" s="3"/>
      <c r="E21" s="3"/>
      <c r="F21" s="3">
        <v>2</v>
      </c>
      <c r="G21" s="3"/>
      <c r="H21" s="3"/>
      <c r="I21" s="3"/>
      <c r="J21" s="3"/>
      <c r="K21" s="3"/>
      <c r="L21" s="3"/>
      <c r="M21" s="3">
        <v>1</v>
      </c>
      <c r="N21" s="3">
        <v>1</v>
      </c>
      <c r="O21" s="3">
        <v>2</v>
      </c>
      <c r="P21" s="3"/>
      <c r="Q21" s="5" t="s">
        <v>41</v>
      </c>
    </row>
    <row r="22" spans="1:17">
      <c r="A22" s="6">
        <v>172</v>
      </c>
      <c r="B22" s="7" t="s">
        <v>917</v>
      </c>
      <c r="C22" s="7"/>
      <c r="D22" s="7"/>
      <c r="E22" s="7"/>
      <c r="F22" s="7">
        <v>2</v>
      </c>
      <c r="G22" s="7"/>
      <c r="H22" s="7"/>
      <c r="I22" s="7"/>
      <c r="J22" s="7"/>
      <c r="K22" s="7"/>
      <c r="L22" s="7"/>
      <c r="M22" s="7">
        <v>1</v>
      </c>
      <c r="N22" s="7">
        <v>1</v>
      </c>
      <c r="O22" s="7">
        <v>2</v>
      </c>
      <c r="P22" s="7"/>
      <c r="Q22" s="9" t="s">
        <v>41</v>
      </c>
    </row>
    <row r="23" spans="1:17">
      <c r="A23" s="2">
        <v>173</v>
      </c>
      <c r="B23" s="3" t="s">
        <v>920</v>
      </c>
      <c r="C23" s="3"/>
      <c r="D23" s="3"/>
      <c r="E23" s="3"/>
      <c r="F23" s="3">
        <v>2</v>
      </c>
      <c r="G23" s="3"/>
      <c r="H23" s="3"/>
      <c r="I23" s="3"/>
      <c r="J23" s="3"/>
      <c r="K23" s="3"/>
      <c r="L23" s="3"/>
      <c r="M23" s="3">
        <v>1</v>
      </c>
      <c r="N23" s="3">
        <v>1</v>
      </c>
      <c r="O23" s="3">
        <v>2</v>
      </c>
      <c r="P23" s="3"/>
      <c r="Q23" s="5" t="s">
        <v>41</v>
      </c>
    </row>
    <row r="24" spans="1:17">
      <c r="A24" s="6">
        <v>180</v>
      </c>
      <c r="B24" s="7" t="s">
        <v>923</v>
      </c>
      <c r="C24" s="7" t="s">
        <v>924</v>
      </c>
      <c r="D24" s="7"/>
      <c r="E24" s="7"/>
      <c r="F24" s="7">
        <v>3</v>
      </c>
      <c r="G24" s="7"/>
      <c r="H24" s="7"/>
      <c r="I24" s="7"/>
      <c r="J24" s="7"/>
      <c r="K24" s="7"/>
      <c r="L24" s="7"/>
      <c r="M24" s="7">
        <v>1</v>
      </c>
      <c r="N24" s="7">
        <v>1</v>
      </c>
      <c r="O24" s="7"/>
      <c r="P24" s="7"/>
      <c r="Q24" s="9" t="s">
        <v>41</v>
      </c>
    </row>
    <row r="25" spans="1:17">
      <c r="A25" s="2">
        <v>181</v>
      </c>
      <c r="B25" s="3" t="s">
        <v>1118</v>
      </c>
      <c r="C25" s="3" t="s">
        <v>927</v>
      </c>
      <c r="D25" s="3"/>
      <c r="E25" s="3"/>
      <c r="F25" s="3">
        <v>3</v>
      </c>
      <c r="G25" s="3"/>
      <c r="H25" s="3"/>
      <c r="I25" s="3"/>
      <c r="J25" s="3"/>
      <c r="K25" s="3"/>
      <c r="L25" s="3"/>
      <c r="M25" s="3"/>
      <c r="N25" s="3">
        <v>1</v>
      </c>
      <c r="O25" s="3"/>
      <c r="P25" s="3"/>
      <c r="Q25" s="5" t="s">
        <v>41</v>
      </c>
    </row>
    <row r="26" spans="1:17">
      <c r="A26" s="6">
        <v>174</v>
      </c>
      <c r="B26" s="7" t="s">
        <v>934</v>
      </c>
      <c r="C26" s="7"/>
      <c r="D26" s="7"/>
      <c r="E26" s="7"/>
      <c r="F26" s="7">
        <v>2</v>
      </c>
      <c r="G26" s="7"/>
      <c r="H26" s="7"/>
      <c r="I26" s="10"/>
      <c r="J26" s="7"/>
      <c r="K26" s="7"/>
      <c r="L26" s="7"/>
      <c r="M26" s="7">
        <v>1</v>
      </c>
      <c r="N26" s="7">
        <v>1</v>
      </c>
      <c r="O26" s="7"/>
      <c r="P26" s="7"/>
      <c r="Q26" s="9" t="s">
        <v>41</v>
      </c>
    </row>
    <row r="27" spans="1:17">
      <c r="A27" s="2">
        <v>175</v>
      </c>
      <c r="B27" s="3" t="s">
        <v>936</v>
      </c>
      <c r="C27" s="3"/>
      <c r="D27" s="3"/>
      <c r="E27" s="3"/>
      <c r="F27" s="3">
        <v>2</v>
      </c>
      <c r="G27" s="3"/>
      <c r="H27" s="3"/>
      <c r="I27" s="11"/>
      <c r="J27" s="3"/>
      <c r="K27" s="3"/>
      <c r="L27" s="3"/>
      <c r="M27" s="3">
        <v>1</v>
      </c>
      <c r="N27" s="3">
        <v>1</v>
      </c>
      <c r="O27" s="3"/>
      <c r="P27" s="3"/>
      <c r="Q27" s="5" t="s">
        <v>41</v>
      </c>
    </row>
    <row r="28" spans="1:17">
      <c r="A28" s="6">
        <v>176</v>
      </c>
      <c r="B28" s="7" t="s">
        <v>937</v>
      </c>
      <c r="C28" s="7"/>
      <c r="D28" s="7"/>
      <c r="E28" s="7"/>
      <c r="F28" s="7">
        <v>2</v>
      </c>
      <c r="G28" s="7"/>
      <c r="H28" s="7"/>
      <c r="I28" s="10"/>
      <c r="J28" s="7"/>
      <c r="K28" s="7"/>
      <c r="L28" s="7"/>
      <c r="M28" s="7">
        <v>1</v>
      </c>
      <c r="N28" s="7">
        <v>1</v>
      </c>
      <c r="O28" s="7"/>
      <c r="P28" s="7"/>
      <c r="Q28" s="9" t="s">
        <v>41</v>
      </c>
    </row>
    <row r="29" spans="1:17">
      <c r="A29" s="2">
        <v>178</v>
      </c>
      <c r="B29" s="3" t="s">
        <v>938</v>
      </c>
      <c r="C29" s="3"/>
      <c r="D29" s="3"/>
      <c r="E29" s="3"/>
      <c r="F29" s="3">
        <v>2</v>
      </c>
      <c r="G29" s="3"/>
      <c r="H29" s="3"/>
      <c r="I29" s="11"/>
      <c r="J29" s="3"/>
      <c r="K29" s="3"/>
      <c r="L29" s="3"/>
      <c r="M29" s="3">
        <v>1</v>
      </c>
      <c r="N29" s="3">
        <v>1</v>
      </c>
      <c r="O29" s="3"/>
      <c r="P29" s="3"/>
      <c r="Q29" s="5" t="s">
        <v>41</v>
      </c>
    </row>
    <row r="30" spans="1:17">
      <c r="A30" s="6">
        <v>179</v>
      </c>
      <c r="B30" s="7" t="s">
        <v>940</v>
      </c>
      <c r="C30" s="7" t="s">
        <v>941</v>
      </c>
      <c r="D30" s="7"/>
      <c r="E30" s="7" t="s">
        <v>942</v>
      </c>
      <c r="F30" s="7">
        <v>3</v>
      </c>
      <c r="G30" s="7">
        <v>1</v>
      </c>
      <c r="H30" s="7">
        <v>1</v>
      </c>
      <c r="I30" s="7"/>
      <c r="J30" s="7" t="s">
        <v>943</v>
      </c>
      <c r="K30" s="7"/>
      <c r="L30" s="7"/>
      <c r="M30" s="7">
        <v>1</v>
      </c>
      <c r="N30" s="7">
        <v>1</v>
      </c>
      <c r="O30" s="7"/>
      <c r="P30" s="7"/>
      <c r="Q30" s="12">
        <v>44536</v>
      </c>
    </row>
    <row r="31" spans="1:17">
      <c r="A31" s="2">
        <v>180</v>
      </c>
      <c r="B31" s="13" t="s">
        <v>945</v>
      </c>
      <c r="C31" s="3"/>
      <c r="D31" s="3"/>
      <c r="E31" s="3"/>
      <c r="F31" s="3">
        <v>4</v>
      </c>
      <c r="G31" s="3"/>
      <c r="H31" s="3">
        <v>1</v>
      </c>
      <c r="I31" s="3"/>
      <c r="J31" s="3" t="s">
        <v>946</v>
      </c>
      <c r="K31" s="3"/>
      <c r="L31" s="3"/>
      <c r="M31" s="3">
        <v>1</v>
      </c>
      <c r="N31" s="3">
        <v>1</v>
      </c>
      <c r="O31" s="3"/>
      <c r="P31" s="3"/>
      <c r="Q31" s="14">
        <v>44537</v>
      </c>
    </row>
    <row r="32" spans="1:17">
      <c r="A32" s="6">
        <v>181</v>
      </c>
      <c r="B32" s="7" t="s">
        <v>948</v>
      </c>
      <c r="C32" s="7" t="s">
        <v>949</v>
      </c>
      <c r="D32" s="7"/>
      <c r="E32" s="7"/>
      <c r="F32" s="7">
        <v>4</v>
      </c>
      <c r="G32" s="7"/>
      <c r="H32" s="7">
        <v>0</v>
      </c>
      <c r="I32" s="7"/>
      <c r="J32" s="7"/>
      <c r="K32" s="7"/>
      <c r="L32" s="7"/>
      <c r="M32" s="7">
        <v>1</v>
      </c>
      <c r="N32" s="7">
        <v>1</v>
      </c>
      <c r="O32" s="7"/>
      <c r="P32" s="7"/>
      <c r="Q32" s="12">
        <v>44537</v>
      </c>
    </row>
    <row r="33" spans="1:17">
      <c r="A33" s="2">
        <v>182</v>
      </c>
      <c r="B33" s="3" t="s">
        <v>951</v>
      </c>
      <c r="C33" s="3"/>
      <c r="D33" s="3"/>
      <c r="E33" s="3" t="s">
        <v>952</v>
      </c>
      <c r="F33" s="3">
        <v>4</v>
      </c>
      <c r="G33" s="3"/>
      <c r="H33" s="3"/>
      <c r="I33" s="3"/>
      <c r="J33" s="3"/>
      <c r="K33" s="3"/>
      <c r="L33" s="3"/>
      <c r="M33" s="3">
        <v>1</v>
      </c>
      <c r="N33" s="3">
        <v>1</v>
      </c>
      <c r="O33" s="3"/>
      <c r="P33" s="3"/>
      <c r="Q33" s="14">
        <v>44567</v>
      </c>
    </row>
    <row r="34" spans="1:17">
      <c r="A34" s="6">
        <v>183</v>
      </c>
      <c r="B34" s="7" t="s">
        <v>954</v>
      </c>
      <c r="C34" s="7"/>
      <c r="D34" s="7"/>
      <c r="E34" s="7"/>
      <c r="F34" s="7">
        <v>4</v>
      </c>
      <c r="G34" s="7"/>
      <c r="H34" s="7"/>
      <c r="I34" s="7"/>
      <c r="J34" s="7"/>
      <c r="K34" s="7"/>
      <c r="L34" s="7"/>
      <c r="M34" s="7">
        <v>1</v>
      </c>
      <c r="N34" s="7">
        <v>1</v>
      </c>
      <c r="O34" s="7"/>
      <c r="P34" s="7"/>
      <c r="Q34" s="12">
        <v>44540</v>
      </c>
    </row>
    <row r="35" spans="1:17">
      <c r="A35" s="2">
        <v>184</v>
      </c>
      <c r="B35" s="3" t="s">
        <v>957</v>
      </c>
      <c r="C35" s="3"/>
      <c r="D35" s="3"/>
      <c r="E35" s="3"/>
      <c r="F35" s="3">
        <v>4</v>
      </c>
      <c r="G35" s="3"/>
      <c r="H35" s="3">
        <v>0</v>
      </c>
      <c r="I35" s="3"/>
      <c r="J35" s="3"/>
      <c r="K35" s="3"/>
      <c r="L35" s="3"/>
      <c r="M35" s="3">
        <v>1</v>
      </c>
      <c r="N35" s="3">
        <v>1</v>
      </c>
      <c r="O35" s="3"/>
      <c r="P35" s="3"/>
      <c r="Q35" s="14">
        <v>44537</v>
      </c>
    </row>
    <row r="36" spans="1:17">
      <c r="A36" s="6">
        <v>185</v>
      </c>
      <c r="B36" s="7" t="s">
        <v>1119</v>
      </c>
      <c r="C36" s="7" t="s">
        <v>959</v>
      </c>
      <c r="D36" s="7"/>
      <c r="E36" s="7"/>
      <c r="F36" s="7">
        <v>4</v>
      </c>
      <c r="G36" s="7"/>
      <c r="H36" s="7">
        <v>0</v>
      </c>
      <c r="I36" s="7"/>
      <c r="J36" s="7"/>
      <c r="K36" s="7"/>
      <c r="L36" s="7"/>
      <c r="M36" s="7">
        <v>1</v>
      </c>
      <c r="N36" s="7">
        <v>1</v>
      </c>
      <c r="O36" s="7"/>
      <c r="P36" s="15"/>
      <c r="Q36" s="12">
        <v>44553</v>
      </c>
    </row>
    <row r="37" spans="1:17">
      <c r="A37" s="2">
        <v>187</v>
      </c>
      <c r="B37" s="3" t="s">
        <v>963</v>
      </c>
      <c r="C37" s="3" t="s">
        <v>962</v>
      </c>
      <c r="D37" s="3"/>
      <c r="E37" s="3" t="s">
        <v>964</v>
      </c>
      <c r="F37" s="3">
        <v>6</v>
      </c>
      <c r="G37" s="3"/>
      <c r="H37" s="3">
        <v>1</v>
      </c>
      <c r="I37" s="3"/>
      <c r="J37" s="3"/>
      <c r="K37" s="3"/>
      <c r="L37" s="3"/>
      <c r="M37" s="3">
        <v>1</v>
      </c>
      <c r="N37" s="3">
        <v>1</v>
      </c>
      <c r="O37" s="3"/>
      <c r="P37" s="3"/>
      <c r="Q37" s="14">
        <v>44546</v>
      </c>
    </row>
    <row r="38" spans="1:17">
      <c r="A38" s="6">
        <v>188</v>
      </c>
      <c r="B38" s="16" t="s">
        <v>967</v>
      </c>
      <c r="C38" s="7" t="s">
        <v>968</v>
      </c>
      <c r="D38" s="7"/>
      <c r="E38" s="7" t="s">
        <v>660</v>
      </c>
      <c r="F38" s="7">
        <v>3</v>
      </c>
      <c r="G38" s="7"/>
      <c r="H38" s="7" t="s">
        <v>660</v>
      </c>
      <c r="I38" s="7"/>
      <c r="J38" s="7"/>
      <c r="K38" s="7"/>
      <c r="L38" s="7"/>
      <c r="M38" s="7">
        <v>1</v>
      </c>
      <c r="N38" s="7">
        <v>1</v>
      </c>
      <c r="O38" s="7"/>
      <c r="P38" s="7"/>
      <c r="Q38" s="12">
        <v>44551</v>
      </c>
    </row>
    <row r="39" spans="1:17">
      <c r="A39" s="2">
        <v>189</v>
      </c>
      <c r="B39" s="3" t="s">
        <v>970</v>
      </c>
      <c r="C39" s="3"/>
      <c r="D39" s="3"/>
      <c r="E39" s="3"/>
      <c r="F39" s="3">
        <v>4</v>
      </c>
      <c r="G39" s="3"/>
      <c r="H39" s="3"/>
      <c r="I39" s="3"/>
      <c r="J39" s="3"/>
      <c r="K39" s="3"/>
      <c r="L39" s="3"/>
      <c r="M39" s="3">
        <v>1</v>
      </c>
      <c r="N39" s="3">
        <v>1</v>
      </c>
      <c r="O39" s="3"/>
      <c r="P39" s="3"/>
      <c r="Q39" s="14">
        <v>44546</v>
      </c>
    </row>
    <row r="40" spans="1:17">
      <c r="A40" s="6">
        <v>190</v>
      </c>
      <c r="B40" s="7" t="s">
        <v>971</v>
      </c>
      <c r="C40" s="7" t="s">
        <v>972</v>
      </c>
      <c r="D40" s="7"/>
      <c r="E40" s="7" t="s">
        <v>660</v>
      </c>
      <c r="F40" s="7">
        <v>4</v>
      </c>
      <c r="G40" s="7"/>
      <c r="H40" s="7">
        <v>0</v>
      </c>
      <c r="I40" s="7"/>
      <c r="J40" s="7"/>
      <c r="K40" s="7"/>
      <c r="L40" s="7"/>
      <c r="M40" s="7">
        <v>1</v>
      </c>
      <c r="N40" s="7">
        <v>1</v>
      </c>
      <c r="O40" s="7"/>
      <c r="P40" s="7" t="s">
        <v>973</v>
      </c>
      <c r="Q40" s="12">
        <v>44580</v>
      </c>
    </row>
    <row r="41" spans="1:17">
      <c r="A41" s="2">
        <v>191</v>
      </c>
      <c r="B41" s="3" t="s">
        <v>976</v>
      </c>
      <c r="C41" s="3" t="s">
        <v>977</v>
      </c>
      <c r="D41" s="3"/>
      <c r="E41" s="17" t="s">
        <v>978</v>
      </c>
      <c r="F41" s="3">
        <v>4</v>
      </c>
      <c r="G41" s="3"/>
      <c r="H41" s="3"/>
      <c r="I41" s="3"/>
      <c r="J41" s="3" t="s">
        <v>979</v>
      </c>
      <c r="K41" s="3"/>
      <c r="L41" s="3"/>
      <c r="M41" s="3">
        <v>1</v>
      </c>
      <c r="N41" s="3">
        <v>1</v>
      </c>
      <c r="O41" s="3"/>
      <c r="P41" s="3"/>
      <c r="Q41" s="14">
        <v>44552</v>
      </c>
    </row>
    <row r="42" spans="1:17">
      <c r="A42" s="6">
        <v>192</v>
      </c>
      <c r="B42" s="7" t="s">
        <v>981</v>
      </c>
      <c r="C42" s="7" t="s">
        <v>982</v>
      </c>
      <c r="D42" s="7"/>
      <c r="E42" s="7"/>
      <c r="F42" s="7">
        <v>4</v>
      </c>
      <c r="G42" s="7"/>
      <c r="H42" s="7">
        <v>0</v>
      </c>
      <c r="I42" s="7"/>
      <c r="J42" s="7"/>
      <c r="K42" s="7"/>
      <c r="L42" s="7"/>
      <c r="M42" s="7">
        <v>1</v>
      </c>
      <c r="N42" s="7">
        <v>1</v>
      </c>
      <c r="O42" s="7"/>
      <c r="P42" s="7"/>
      <c r="Q42" s="12">
        <v>44576</v>
      </c>
    </row>
    <row r="43" spans="1:17">
      <c r="A43" s="2">
        <v>193</v>
      </c>
      <c r="B43" s="3" t="s">
        <v>983</v>
      </c>
      <c r="C43" s="3"/>
      <c r="D43" s="3"/>
      <c r="E43" s="3"/>
      <c r="F43" s="3">
        <v>2</v>
      </c>
      <c r="G43" s="3"/>
      <c r="H43" s="3">
        <v>1</v>
      </c>
      <c r="I43" s="3"/>
      <c r="J43" s="3" t="s">
        <v>984</v>
      </c>
      <c r="K43" s="3"/>
      <c r="L43" s="3"/>
      <c r="M43" s="3">
        <v>1</v>
      </c>
      <c r="N43" s="3">
        <v>1</v>
      </c>
      <c r="O43" s="3"/>
      <c r="P43" s="3"/>
      <c r="Q43" s="14">
        <v>44606</v>
      </c>
    </row>
    <row r="44" spans="1:17">
      <c r="A44" s="6">
        <v>196</v>
      </c>
      <c r="B44" s="7" t="s">
        <v>990</v>
      </c>
      <c r="C44" s="7" t="s">
        <v>991</v>
      </c>
      <c r="D44" s="7"/>
      <c r="E44" s="7"/>
      <c r="F44" s="7">
        <v>4</v>
      </c>
      <c r="G44" s="7"/>
      <c r="H44" s="7">
        <v>0</v>
      </c>
      <c r="I44" s="7"/>
      <c r="J44" s="7"/>
      <c r="K44" s="7"/>
      <c r="L44" s="7"/>
      <c r="M44" s="7">
        <v>1</v>
      </c>
      <c r="N44" s="7">
        <v>1</v>
      </c>
      <c r="O44" s="7"/>
      <c r="P44" s="7"/>
      <c r="Q44" s="12">
        <v>44595</v>
      </c>
    </row>
    <row r="45" spans="1:17">
      <c r="A45" s="2">
        <v>197</v>
      </c>
      <c r="B45" s="3" t="s">
        <v>993</v>
      </c>
      <c r="C45" s="3" t="s">
        <v>994</v>
      </c>
      <c r="D45" s="3"/>
      <c r="E45" s="3"/>
      <c r="F45" s="3">
        <v>4</v>
      </c>
      <c r="G45" s="3"/>
      <c r="H45" s="3">
        <v>1</v>
      </c>
      <c r="I45" s="3"/>
      <c r="J45" s="3" t="s">
        <v>995</v>
      </c>
      <c r="K45" s="3"/>
      <c r="L45" s="3"/>
      <c r="M45" s="3">
        <v>1</v>
      </c>
      <c r="N45" s="3">
        <v>1</v>
      </c>
      <c r="O45" s="3"/>
      <c r="P45" s="3"/>
      <c r="Q45" s="14">
        <v>44599</v>
      </c>
    </row>
    <row r="50" spans="3:6">
      <c r="C50" t="s">
        <v>1093</v>
      </c>
      <c r="E50">
        <v>1</v>
      </c>
      <c r="F50">
        <f>COUNTIF($F$1:$F$45,E50)</f>
        <v>17</v>
      </c>
    </row>
    <row r="51" spans="3:6">
      <c r="C51" t="s">
        <v>1120</v>
      </c>
      <c r="E51">
        <v>2</v>
      </c>
      <c r="F51">
        <f t="shared" ref="F51:F55" si="0">COUNTIF($F$1:$F$45,E51)</f>
        <v>10</v>
      </c>
    </row>
    <row r="52" spans="3:6">
      <c r="C52" t="s">
        <v>1121</v>
      </c>
      <c r="E52">
        <v>3</v>
      </c>
      <c r="F52">
        <f t="shared" si="0"/>
        <v>5</v>
      </c>
    </row>
    <row r="53" spans="3:6">
      <c r="C53" t="s">
        <v>1122</v>
      </c>
      <c r="E53">
        <v>4</v>
      </c>
      <c r="F53">
        <f t="shared" si="0"/>
        <v>12</v>
      </c>
    </row>
    <row r="54" spans="3:6">
      <c r="C54" t="s">
        <v>1123</v>
      </c>
      <c r="E54">
        <v>5</v>
      </c>
      <c r="F54">
        <f t="shared" si="0"/>
        <v>0</v>
      </c>
    </row>
    <row r="55" spans="3:6">
      <c r="C55" t="s">
        <v>1098</v>
      </c>
      <c r="E55">
        <v>6</v>
      </c>
      <c r="F55">
        <f t="shared" si="0"/>
        <v>1</v>
      </c>
    </row>
  </sheetData>
  <conditionalFormatting sqref="F44:F45 F1:F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I1" r:id="rId1" display="https://osf.io/s94px/" xr:uid="{00000000-0004-0000-0200-000000000000}"/>
    <hyperlink ref="I2" r:id="rId2" display="https://osf.io/fd4vm/" xr:uid="{00000000-0004-0000-0200-000001000000}"/>
    <hyperlink ref="L3" r:id="rId3" display="mailto:bschwar1@swarthmore.edu" xr:uid="{00000000-0004-0000-0200-000002000000}"/>
    <hyperlink ref="I4" r:id="rId4" display="https://osf.io/cbf3t/" xr:uid="{00000000-0004-0000-0200-000003000000}"/>
    <hyperlink ref="I5" r:id="rId5" display="https://osf.io/e2k8d/" xr:uid="{00000000-0004-0000-0200-000004000000}"/>
    <hyperlink ref="I6" r:id="rId6" display="https://osf.io/ef8pk/" xr:uid="{00000000-0004-0000-0200-000005000000}"/>
    <hyperlink ref="I7" r:id="rId7" display="https://osf.io/jtx34/" xr:uid="{00000000-0004-0000-0200-000006000000}"/>
    <hyperlink ref="I8" r:id="rId8" display="https://osf.io/6ekxd/" xr:uid="{00000000-0004-0000-0200-000007000000}"/>
    <hyperlink ref="I9" r:id="rId9" display="https://osf.io/85apc/" xr:uid="{00000000-0004-0000-0200-000008000000}"/>
    <hyperlink ref="I10" r:id="rId10" display="https://osf.io/8rbvz/files/" xr:uid="{00000000-0004-0000-0200-000009000000}"/>
    <hyperlink ref="I11" r:id="rId11" display="https://osf.io/ynxc7/?view_only=d3dee8120ee14793851a6db6545a3af7" xr:uid="{00000000-0004-0000-0200-00000A000000}"/>
    <hyperlink ref="I16" r:id="rId12" display="https://osf.io/r48wq/" xr:uid="{00000000-0004-0000-0200-00000B000000}"/>
    <hyperlink ref="I17" r:id="rId13" display="https://osf.io/8ynwu/" xr:uid="{00000000-0004-0000-0200-00000C000000}"/>
    <hyperlink ref="I18" r:id="rId14" display="https://osf.io/u2x7j/?view_only=8de1c27063a347999c7be50bc2a1a2f5" xr:uid="{00000000-0004-0000-0200-00000D000000}"/>
    <hyperlink ref="E41" r:id="rId15" xr:uid="{00000000-0004-0000-0200-00000E000000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B8" sqref="B8"/>
    </sheetView>
  </sheetViews>
  <sheetFormatPr baseColWidth="10" defaultColWidth="11.44140625" defaultRowHeight="14.4"/>
  <sheetData>
    <row r="1" spans="1:1">
      <c r="A1" t="s">
        <v>1124</v>
      </c>
    </row>
    <row r="2" spans="1:1">
      <c r="A2" t="s">
        <v>1125</v>
      </c>
    </row>
    <row r="3" spans="1:1">
      <c r="A3" t="s">
        <v>1126</v>
      </c>
    </row>
    <row r="4" spans="1:1">
      <c r="A4" t="s">
        <v>1127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7C18EFC8ECA154E813412728888FED9" ma:contentTypeVersion="5" ma:contentTypeDescription="Ein neues Dokument erstellen." ma:contentTypeScope="" ma:versionID="aee0fc6743d4efae81c2f97edda2abd1">
  <xsd:schema xmlns:xsd="http://www.w3.org/2001/XMLSchema" xmlns:xs="http://www.w3.org/2001/XMLSchema" xmlns:p="http://schemas.microsoft.com/office/2006/metadata/properties" xmlns:ns2="6a799241-92da-42d2-8c16-b1bb216f9adf" targetNamespace="http://schemas.microsoft.com/office/2006/metadata/properties" ma:root="true" ma:fieldsID="4841585e5e9e109474d631b92e47cc98" ns2:_="">
    <xsd:import namespace="6a799241-92da-42d2-8c16-b1bb216f9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99241-92da-42d2-8c16-b1bb216f9a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DFB6C-F928-4233-929D-F52027CB69E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521A421-6931-49A0-8FAF-DB7DBEDC66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C4B01F-874B-4FE1-A16F-D325712AFE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99241-92da-42d2-8c16-b1bb216f9a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Overview</vt:lpstr>
      <vt:lpstr>Aufgabe Paulina</vt:lpstr>
      <vt:lpstr>included 4.3.22</vt:lpstr>
      <vt:lpstr>Tabelle2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 R</dc:creator>
  <cp:keywords/>
  <dc:description/>
  <cp:lastModifiedBy>Luk R</cp:lastModifiedBy>
  <cp:revision/>
  <dcterms:created xsi:type="dcterms:W3CDTF">2015-06-05T18:19:34Z</dcterms:created>
  <dcterms:modified xsi:type="dcterms:W3CDTF">2023-01-10T08:50:59Z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0x01010087C18EFC8ECA154E813412728888FED9</vt:lpwstr>
  </property>
</Properties>
</file>